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mi\Desktop\"/>
    </mc:Choice>
  </mc:AlternateContent>
  <xr:revisionPtr revIDLastSave="0" documentId="8_{596B1D67-4600-4140-AE9D-C23FCFC8A3A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13" r:id="rId5"/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<sst xmlns="http://schemas.openxmlformats.org/spreadsheetml/2006/main" count="165" uniqueCount="38">
  <si>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</si>
  <si>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</si>
  <si>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</si>
  <si>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</si>
  <si>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</si>
  <si>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</si>
  <si>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</si>
  <si>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</si>
  <si>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</si>
  <si>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</si>
  <si>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</si>
  <si>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</si>
  <si>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</si>
  <si>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</si>
  <si>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</si>
  <si>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</si>
  <si>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</si>
  <si>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</si>
  <si>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</si>
  <si>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</si>
  <si>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</si>
  <si>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</si>
  <si>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</si>
  <si>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</si>
  <si>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</si>
  <si>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</si>
  <si>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</si>
  <si>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</si>
  <si>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</si>
  <si>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</si>
  <si>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</si>
  <si>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</si>
  <si>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pivot</t>
  </si>
  <si>
    <t>Average</t>
  </si>
  <si>
    <t>Min</t>
  </si>
  <si>
    <t>Max</t>
  </si>
  <si>
    <t>Count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</si>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</sst>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mila Kiran" refreshedDate="46079.61719675926" createdVersion="8" refreshedVersion="8" minRefreshableVersion="3" recordCount="4" xr:uid="{AFFF96E1-184A-4911-A971-6C0C158DF16E}">
  <cacheSource type="worksheet">
    <worksheetSource ref="C52:C56" sheet="Montgomery_Fleet_Equipment_Inve"/>
  </cacheSource>
  <cacheFields count="1">
    <cacheField name="1582" numFmtId="0">
      <sharedItems containsSemiMixedTypes="0" containsString="0" containsNumber="1" containsInteger="1" minValue="2" maxValue="37" count="4">
        <n v="29"/>
        <n v="21"/>
        <n v="37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mila Kiran" refreshedDate="46079.617765740739" createdVersion="8" refreshedVersion="8" minRefreshableVersion="3" recordCount="49" xr:uid="{53523AA0-9A17-4779-934E-D49791FE1968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</r>
  <r>
    <x v="1"/>
  </r>
  <r>
    <x v="2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AB11E-B579-404C-B2B7-1AB8D78BA5D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7:E74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A6390-CEF4-486A-869E-5C6342E22535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20C96-A4E4-4155-A9D5-03BFD4745BA4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a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5E512-BF5D-4CC3-86F6-13C3E854E37E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n="pivot"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777298-B60C-4659-82F0-72B696636814}" name="Table2" displayName="Table2" ref="A1:C50" totalsRowShown="0">
  <autoFilter ref="A1:C50" xr:uid="{EB777298-B60C-4659-82F0-72B696636814}"/>
  <tableColumns count="3">
    <tableColumn id="1" xr3:uid="{7E1AC192-48FD-454A-B162-9F4AE05F5DF0}" name="Department"/>
    <tableColumn id="2" xr3:uid="{17AD0584-525D-47FC-8186-CFFBD3688C9D}" name="Equipment Class"/>
    <tableColumn id="3" xr3:uid="{B33229FD-D221-4005-983B-EA40A094EC48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opLeftCell="A54" workbookViewId="0">
      <selection activeCell="F14" sqref="F14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5" x14ac:dyDescent="0.3">
      <c r="A49" t="s">
        <v>26</v>
      </c>
      <c r="B49" t="s">
        <v>16</v>
      </c>
      <c r="C49">
        <v>5</v>
      </c>
    </row>
    <row r="50" spans="1:5" x14ac:dyDescent="0.3">
      <c r="A50" t="s">
        <v>26</v>
      </c>
      <c r="B50" t="s">
        <v>4</v>
      </c>
      <c r="C50">
        <v>37</v>
      </c>
    </row>
    <row r="52" spans="1:5" x14ac:dyDescent="0.3">
      <c r="B52" t="s">
        <v>37</v>
      </c>
      <c r="C52">
        <f>SUM(C2:C51)</f>
        <v>1582</v>
      </c>
    </row>
    <row r="53" spans="1:5" x14ac:dyDescent="0.3">
      <c r="B53" t="s">
        <v>33</v>
      </c>
      <c r="C53">
        <f>AVERAGE(C2,C50)</f>
        <v>29</v>
      </c>
    </row>
    <row r="54" spans="1:5" x14ac:dyDescent="0.3">
      <c r="B54" t="s">
        <v>34</v>
      </c>
      <c r="C54">
        <f>MIN(C2,C50)</f>
        <v>21</v>
      </c>
    </row>
    <row r="55" spans="1:5" x14ac:dyDescent="0.3">
      <c r="B55" t="s">
        <v>35</v>
      </c>
      <c r="C55">
        <f>MAX(C2,C50)</f>
        <v>37</v>
      </c>
    </row>
    <row r="56" spans="1:5" x14ac:dyDescent="0.3">
      <c r="B56" t="s">
        <v>36</v>
      </c>
      <c r="C56">
        <f>COUNT(C2,C50)</f>
        <v>2</v>
      </c>
    </row>
    <row r="57" spans="1:5" x14ac:dyDescent="0.3">
      <c r="C57" s="1"/>
      <c r="D57" s="2"/>
      <c r="E57" s="3"/>
    </row>
    <row r="58" spans="1:5" x14ac:dyDescent="0.3">
      <c r="C58" s="4"/>
      <c r="D58" s="5"/>
      <c r="E58" s="6"/>
    </row>
    <row r="59" spans="1:5" x14ac:dyDescent="0.3">
      <c r="C59" s="4"/>
      <c r="D59" s="5"/>
      <c r="E59" s="6"/>
    </row>
    <row r="60" spans="1:5" x14ac:dyDescent="0.3">
      <c r="C60" s="4"/>
      <c r="D60" s="5"/>
      <c r="E60" s="6"/>
    </row>
    <row r="61" spans="1:5" x14ac:dyDescent="0.3">
      <c r="C61" s="4"/>
      <c r="D61" s="5"/>
      <c r="E61" s="6"/>
    </row>
    <row r="62" spans="1:5" x14ac:dyDescent="0.3">
      <c r="C62" s="4"/>
      <c r="D62" s="5"/>
      <c r="E62" s="6"/>
    </row>
    <row r="63" spans="1:5" x14ac:dyDescent="0.3">
      <c r="C63" s="4"/>
      <c r="D63" s="5"/>
      <c r="E63" s="6"/>
    </row>
    <row r="64" spans="1:5" x14ac:dyDescent="0.3">
      <c r="C64" s="4"/>
      <c r="D64" s="5"/>
      <c r="E64" s="6"/>
    </row>
    <row r="65" spans="3:5" x14ac:dyDescent="0.3">
      <c r="C65" s="4"/>
      <c r="D65" s="5"/>
      <c r="E65" s="6"/>
    </row>
    <row r="66" spans="3:5" x14ac:dyDescent="0.3">
      <c r="C66" s="4"/>
      <c r="D66" s="5"/>
      <c r="E66" s="6"/>
    </row>
    <row r="67" spans="3:5" x14ac:dyDescent="0.3">
      <c r="C67" s="4"/>
      <c r="D67" s="5"/>
      <c r="E67" s="6"/>
    </row>
    <row r="68" spans="3:5" x14ac:dyDescent="0.3">
      <c r="C68" s="4"/>
      <c r="D68" s="5"/>
      <c r="E68" s="6"/>
    </row>
    <row r="69" spans="3:5" x14ac:dyDescent="0.3">
      <c r="C69" s="4"/>
      <c r="D69" s="5"/>
      <c r="E69" s="6"/>
    </row>
    <row r="70" spans="3:5" x14ac:dyDescent="0.3">
      <c r="C70" s="4"/>
      <c r="D70" s="5"/>
      <c r="E70" s="6"/>
    </row>
    <row r="71" spans="3:5" x14ac:dyDescent="0.3">
      <c r="C71" s="4"/>
      <c r="D71" s="5"/>
      <c r="E71" s="6"/>
    </row>
    <row r="72" spans="3:5" x14ac:dyDescent="0.3">
      <c r="C72" s="4"/>
      <c r="D72" s="5"/>
      <c r="E72" s="6"/>
    </row>
    <row r="73" spans="3:5" x14ac:dyDescent="0.3">
      <c r="C73" s="4"/>
      <c r="D73" s="5"/>
      <c r="E73" s="6"/>
    </row>
    <row r="74" spans="3:5" x14ac:dyDescent="0.3">
      <c r="C74" s="7"/>
      <c r="D74" s="8"/>
      <c r="E74" s="9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5260-E0D2-41AB-AFB9-1EC391B252CC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0" t="s">
        <v>29</v>
      </c>
      <c r="B3" t="s">
        <v>31</v>
      </c>
    </row>
    <row r="4" spans="1:2" x14ac:dyDescent="0.3">
      <c r="A4" s="11" t="s">
        <v>26</v>
      </c>
      <c r="B4">
        <v>1221</v>
      </c>
    </row>
    <row r="5" spans="1:2" x14ac:dyDescent="0.3">
      <c r="A5" s="11" t="s">
        <v>25</v>
      </c>
      <c r="B5">
        <v>16</v>
      </c>
    </row>
    <row r="6" spans="1:2" x14ac:dyDescent="0.3">
      <c r="A6" s="11" t="s">
        <v>24</v>
      </c>
      <c r="B6">
        <v>5</v>
      </c>
    </row>
    <row r="7" spans="1:2" x14ac:dyDescent="0.3">
      <c r="A7" s="11" t="s">
        <v>19</v>
      </c>
      <c r="B7">
        <v>85</v>
      </c>
    </row>
    <row r="8" spans="1:2" x14ac:dyDescent="0.3">
      <c r="A8" s="11" t="s">
        <v>18</v>
      </c>
      <c r="B8">
        <v>35</v>
      </c>
    </row>
    <row r="9" spans="1:2" x14ac:dyDescent="0.3">
      <c r="A9" s="11" t="s">
        <v>17</v>
      </c>
      <c r="B9">
        <v>1</v>
      </c>
    </row>
    <row r="10" spans="1:2" x14ac:dyDescent="0.3">
      <c r="A10" s="11" t="s">
        <v>15</v>
      </c>
      <c r="B10">
        <v>109</v>
      </c>
    </row>
    <row r="11" spans="1:2" x14ac:dyDescent="0.3">
      <c r="A11" s="11" t="s">
        <v>14</v>
      </c>
      <c r="B11">
        <v>1</v>
      </c>
    </row>
    <row r="12" spans="1:2" x14ac:dyDescent="0.3">
      <c r="A12" s="11" t="s">
        <v>12</v>
      </c>
      <c r="B12">
        <v>56</v>
      </c>
    </row>
    <row r="13" spans="1:2" x14ac:dyDescent="0.3">
      <c r="A13" s="11" t="s">
        <v>9</v>
      </c>
      <c r="B13">
        <v>6</v>
      </c>
    </row>
    <row r="14" spans="1:2" x14ac:dyDescent="0.3">
      <c r="A14" s="11" t="s">
        <v>8</v>
      </c>
      <c r="B14">
        <v>2</v>
      </c>
    </row>
    <row r="15" spans="1:2" x14ac:dyDescent="0.3">
      <c r="A15" s="11" t="s">
        <v>5</v>
      </c>
      <c r="B15">
        <v>45</v>
      </c>
    </row>
    <row r="16" spans="1:2" x14ac:dyDescent="0.3">
      <c r="A16" s="11" t="s">
        <v>30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E31A-02DB-44BA-B8A9-0F130ECBA1E1}">
  <dimension ref="A3:B25"/>
  <sheetViews>
    <sheetView workbookViewId="0">
      <selection activeCell="A9" sqref="A9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0" t="s">
        <v>29</v>
      </c>
      <c r="B3" t="s">
        <v>31</v>
      </c>
    </row>
    <row r="4" spans="1:2" x14ac:dyDescent="0.3">
      <c r="A4" s="11" t="s">
        <v>5</v>
      </c>
      <c r="B4" s="13">
        <v>45</v>
      </c>
    </row>
    <row r="5" spans="1:2" x14ac:dyDescent="0.3">
      <c r="A5" s="11" t="s">
        <v>8</v>
      </c>
      <c r="B5" s="13">
        <v>2</v>
      </c>
    </row>
    <row r="6" spans="1:2" x14ac:dyDescent="0.3">
      <c r="A6" s="11" t="s">
        <v>9</v>
      </c>
      <c r="B6" s="13">
        <v>6</v>
      </c>
    </row>
    <row r="7" spans="1:2" x14ac:dyDescent="0.3">
      <c r="A7" s="11" t="s">
        <v>12</v>
      </c>
      <c r="B7" s="13">
        <v>56</v>
      </c>
    </row>
    <row r="8" spans="1:2" x14ac:dyDescent="0.3">
      <c r="A8" s="11" t="s">
        <v>14</v>
      </c>
      <c r="B8" s="13">
        <v>1</v>
      </c>
    </row>
    <row r="9" spans="1:2" x14ac:dyDescent="0.3">
      <c r="A9" s="11" t="s">
        <v>15</v>
      </c>
      <c r="B9" s="13">
        <v>109</v>
      </c>
    </row>
    <row r="10" spans="1:2" x14ac:dyDescent="0.3">
      <c r="A10" s="11" t="s">
        <v>17</v>
      </c>
      <c r="B10" s="13">
        <v>1</v>
      </c>
    </row>
    <row r="11" spans="1:2" x14ac:dyDescent="0.3">
      <c r="A11" s="11" t="s">
        <v>18</v>
      </c>
      <c r="B11" s="13">
        <v>35</v>
      </c>
    </row>
    <row r="12" spans="1:2" x14ac:dyDescent="0.3">
      <c r="A12" s="11" t="s">
        <v>19</v>
      </c>
      <c r="B12" s="13">
        <v>85</v>
      </c>
    </row>
    <row r="13" spans="1:2" x14ac:dyDescent="0.3">
      <c r="A13" s="11" t="s">
        <v>24</v>
      </c>
      <c r="B13" s="13">
        <v>5</v>
      </c>
    </row>
    <row r="14" spans="1:2" x14ac:dyDescent="0.3">
      <c r="A14" s="11" t="s">
        <v>25</v>
      </c>
      <c r="B14" s="13">
        <v>16</v>
      </c>
    </row>
    <row r="15" spans="1:2" x14ac:dyDescent="0.3">
      <c r="A15" s="11" t="s">
        <v>26</v>
      </c>
      <c r="B15" s="13">
        <v>1221</v>
      </c>
    </row>
    <row r="16" spans="1:2" x14ac:dyDescent="0.3">
      <c r="A16" s="12" t="s">
        <v>16</v>
      </c>
      <c r="B16" s="13">
        <v>5</v>
      </c>
    </row>
    <row r="17" spans="1:2" x14ac:dyDescent="0.3">
      <c r="A17" s="12" t="s">
        <v>13</v>
      </c>
      <c r="B17" s="13">
        <v>248</v>
      </c>
    </row>
    <row r="18" spans="1:2" x14ac:dyDescent="0.3">
      <c r="A18" s="12" t="s">
        <v>11</v>
      </c>
      <c r="B18" s="13">
        <v>98</v>
      </c>
    </row>
    <row r="19" spans="1:2" x14ac:dyDescent="0.3">
      <c r="A19" s="12" t="s">
        <v>28</v>
      </c>
      <c r="B19" s="13">
        <v>276</v>
      </c>
    </row>
    <row r="20" spans="1:2" x14ac:dyDescent="0.3">
      <c r="A20" s="12" t="s">
        <v>6</v>
      </c>
      <c r="B20" s="13">
        <v>93</v>
      </c>
    </row>
    <row r="21" spans="1:2" x14ac:dyDescent="0.3">
      <c r="A21" s="12" t="s">
        <v>4</v>
      </c>
      <c r="B21" s="13">
        <v>37</v>
      </c>
    </row>
    <row r="22" spans="1:2" x14ac:dyDescent="0.3">
      <c r="A22" s="12" t="s">
        <v>7</v>
      </c>
      <c r="B22" s="13">
        <v>53</v>
      </c>
    </row>
    <row r="23" spans="1:2" x14ac:dyDescent="0.3">
      <c r="A23" s="12" t="s">
        <v>27</v>
      </c>
      <c r="B23" s="13">
        <v>379</v>
      </c>
    </row>
    <row r="24" spans="1:2" x14ac:dyDescent="0.3">
      <c r="A24" s="12" t="s">
        <v>10</v>
      </c>
      <c r="B24" s="13">
        <v>32</v>
      </c>
    </row>
    <row r="25" spans="1:2" x14ac:dyDescent="0.3">
      <c r="A25" s="11" t="s">
        <v>30</v>
      </c>
      <c r="B25" s="1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F643-666A-41D1-8996-A3B9B7A98631}">
  <dimension ref="A3:B21"/>
  <sheetViews>
    <sheetView tabSelected="1"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0" t="s">
        <v>29</v>
      </c>
      <c r="B3" t="s">
        <v>31</v>
      </c>
    </row>
    <row r="4" spans="1:2" x14ac:dyDescent="0.3">
      <c r="A4" s="11" t="s">
        <v>16</v>
      </c>
      <c r="B4">
        <v>15</v>
      </c>
    </row>
    <row r="5" spans="1:2" x14ac:dyDescent="0.3">
      <c r="A5" s="12" t="s">
        <v>15</v>
      </c>
      <c r="B5">
        <v>9</v>
      </c>
    </row>
    <row r="6" spans="1:2" x14ac:dyDescent="0.3">
      <c r="A6" s="12" t="s">
        <v>25</v>
      </c>
      <c r="B6">
        <v>1</v>
      </c>
    </row>
    <row r="7" spans="1:2" x14ac:dyDescent="0.3">
      <c r="A7" s="12" t="s">
        <v>26</v>
      </c>
      <c r="B7">
        <v>5</v>
      </c>
    </row>
    <row r="8" spans="1:2" x14ac:dyDescent="0.3">
      <c r="A8" s="11" t="s">
        <v>13</v>
      </c>
      <c r="B8">
        <v>290</v>
      </c>
    </row>
    <row r="9" spans="1:2" x14ac:dyDescent="0.3">
      <c r="A9" s="11" t="s">
        <v>11</v>
      </c>
      <c r="B9">
        <v>100</v>
      </c>
    </row>
    <row r="10" spans="1:2" x14ac:dyDescent="0.3">
      <c r="A10" s="11" t="s">
        <v>28</v>
      </c>
      <c r="B10">
        <v>283</v>
      </c>
    </row>
    <row r="11" spans="1:2" x14ac:dyDescent="0.3">
      <c r="A11" s="11" t="s">
        <v>6</v>
      </c>
      <c r="B11">
        <v>150</v>
      </c>
    </row>
    <row r="12" spans="1:2" x14ac:dyDescent="0.3">
      <c r="A12" s="11" t="s">
        <v>21</v>
      </c>
      <c r="B12">
        <v>4</v>
      </c>
    </row>
    <row r="13" spans="1:2" x14ac:dyDescent="0.3">
      <c r="A13" s="11" t="s">
        <v>23</v>
      </c>
      <c r="B13">
        <v>1</v>
      </c>
    </row>
    <row r="14" spans="1:2" x14ac:dyDescent="0.3">
      <c r="A14" s="11" t="s">
        <v>22</v>
      </c>
      <c r="B14">
        <v>47</v>
      </c>
    </row>
    <row r="15" spans="1:2" x14ac:dyDescent="0.3">
      <c r="A15" s="11" t="s">
        <v>3</v>
      </c>
      <c r="B15">
        <v>20</v>
      </c>
    </row>
    <row r="16" spans="1:2" x14ac:dyDescent="0.3">
      <c r="A16" s="11" t="s">
        <v>20</v>
      </c>
      <c r="B16">
        <v>8</v>
      </c>
    </row>
    <row r="17" spans="1:2" x14ac:dyDescent="0.3">
      <c r="A17" s="11" t="s">
        <v>32</v>
      </c>
      <c r="B17">
        <v>130</v>
      </c>
    </row>
    <row r="18" spans="1:2" x14ac:dyDescent="0.3">
      <c r="A18" s="11" t="s">
        <v>7</v>
      </c>
      <c r="B18">
        <v>90</v>
      </c>
    </row>
    <row r="19" spans="1:2" x14ac:dyDescent="0.3">
      <c r="A19" s="11" t="s">
        <v>27</v>
      </c>
      <c r="B19">
        <v>379</v>
      </c>
    </row>
    <row r="20" spans="1:2" x14ac:dyDescent="0.3">
      <c r="A20" s="11" t="s">
        <v>10</v>
      </c>
      <c r="B20">
        <v>65</v>
      </c>
    </row>
    <row r="21" spans="1:2" x14ac:dyDescent="0.3">
      <c r="A21" s="11" t="s">
        <v>30</v>
      </c>
      <c r="B2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Shomila Kiran</dc:creator>
  <cp:lastModifiedBy>Office</cp:lastModifiedBy>
  <dcterms:created xsi:type="dcterms:W3CDTF">2020-09-01T17:18:12Z</dcterms:created>
  <dcterms:modified xsi:type="dcterms:W3CDTF">2026-02-27T00:27:55Z</dcterms:modified>
</cp:coreProperties>
</file>