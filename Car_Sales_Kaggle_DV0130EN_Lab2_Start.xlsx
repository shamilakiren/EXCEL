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mi\Desktop\JDA2026\"/>
    </mc:Choice>
  </mc:AlternateContent>
  <xr:revisionPtr revIDLastSave="0" documentId="13_ncr:1_{5242E1E5-BC3C-49D5-9FB8-FFEE821D4E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_Sales" sheetId="5" r:id="rId1"/>
    <sheet name="Histogram Chart" sheetId="11" r:id="rId2"/>
    <sheet name="Scatter Chart" sheetId="15" r:id="rId3"/>
    <sheet name="Sunburst Chart" sheetId="14" r:id="rId4"/>
  </sheets>
  <definedNames>
    <definedName name="_xlchart.v1.0" hidden="1">'Histogram Chart'!$B$2:$B$156</definedName>
    <definedName name="_xlchart.v1.1" hidden="1">'Histogram Chart'!$C$1</definedName>
    <definedName name="_xlchart.v1.2" hidden="1">'Histogram Chart'!$C$2:$C$156</definedName>
    <definedName name="_xlchart.v1.3" hidden="1">'Sunburst Chart'!$B$2:$B$156</definedName>
    <definedName name="_xlchart.v1.4" hidden="1">'Sunburst Chart'!$C$1</definedName>
    <definedName name="_xlchart.v1.5" hidden="1">'Sunburst Chart'!$C$2:$C$156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15" l="1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K156" i="14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G156" i="11" l="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I114" i="5"/>
  <c r="H114" i="5"/>
  <c r="L113" i="5" a="1"/>
  <c r="L113" i="5" s="1"/>
  <c r="I113" i="5"/>
  <c r="H113" i="5"/>
  <c r="L112" i="5" a="1"/>
  <c r="L112" i="5" s="1"/>
  <c r="I112" i="5"/>
  <c r="H112" i="5"/>
  <c r="L111" i="5"/>
  <c r="L111" i="5" a="1"/>
  <c r="I111" i="5"/>
  <c r="H111" i="5"/>
  <c r="L110" i="5"/>
  <c r="L110" i="5" a="1"/>
  <c r="I110" i="5"/>
  <c r="H110" i="5"/>
  <c r="L109" i="5" a="1"/>
  <c r="L109" i="5" s="1"/>
  <c r="I109" i="5"/>
  <c r="H109" i="5"/>
  <c r="L108" i="5"/>
  <c r="L108" i="5" a="1"/>
  <c r="I108" i="5"/>
  <c r="H108" i="5"/>
  <c r="L107" i="5"/>
  <c r="L107" i="5" a="1"/>
  <c r="I107" i="5"/>
  <c r="H107" i="5"/>
  <c r="L106" i="5" a="1"/>
  <c r="L106" i="5" s="1"/>
  <c r="I106" i="5"/>
  <c r="H106" i="5"/>
  <c r="L105" i="5"/>
  <c r="L105" i="5" a="1"/>
  <c r="I105" i="5"/>
  <c r="H105" i="5"/>
  <c r="L104" i="5"/>
  <c r="L104" i="5" a="1"/>
  <c r="I104" i="5"/>
  <c r="H104" i="5"/>
  <c r="L103" i="5" a="1"/>
  <c r="L103" i="5" s="1"/>
  <c r="I103" i="5"/>
  <c r="H103" i="5"/>
  <c r="L102" i="5"/>
  <c r="L102" i="5" a="1"/>
  <c r="I102" i="5"/>
  <c r="H102" i="5"/>
  <c r="L101" i="5" a="1"/>
  <c r="L101" i="5" s="1"/>
  <c r="I101" i="5"/>
  <c r="H101" i="5"/>
  <c r="L100" i="5" a="1"/>
  <c r="L100" i="5" s="1"/>
  <c r="I100" i="5"/>
  <c r="H100" i="5"/>
  <c r="L99" i="5"/>
  <c r="L99" i="5" a="1"/>
  <c r="I99" i="5"/>
  <c r="H99" i="5"/>
  <c r="L98" i="5" a="1"/>
  <c r="L98" i="5" s="1"/>
  <c r="I98" i="5"/>
  <c r="H98" i="5"/>
  <c r="L97" i="5" a="1"/>
  <c r="L97" i="5" s="1"/>
  <c r="I97" i="5"/>
  <c r="H97" i="5"/>
  <c r="L96" i="5"/>
  <c r="L96" i="5" a="1"/>
  <c r="I96" i="5"/>
  <c r="H96" i="5"/>
  <c r="L95" i="5" a="1"/>
  <c r="L95" i="5" s="1"/>
  <c r="I95" i="5"/>
  <c r="H95" i="5"/>
  <c r="L94" i="5" a="1"/>
  <c r="L94" i="5" s="1"/>
  <c r="I94" i="5"/>
  <c r="H94" i="5"/>
  <c r="L93" i="5"/>
  <c r="L93" i="5" a="1"/>
  <c r="I93" i="5"/>
  <c r="H93" i="5"/>
  <c r="L92" i="5" a="1"/>
  <c r="L92" i="5" s="1"/>
  <c r="I92" i="5"/>
  <c r="H92" i="5"/>
  <c r="L91" i="5" a="1"/>
  <c r="L91" i="5" s="1"/>
  <c r="I91" i="5"/>
  <c r="H91" i="5"/>
  <c r="L90" i="5"/>
  <c r="L90" i="5" a="1"/>
  <c r="I90" i="5"/>
  <c r="H90" i="5"/>
  <c r="L89" i="5" a="1"/>
  <c r="L89" i="5" s="1"/>
  <c r="I89" i="5"/>
  <c r="H89" i="5"/>
  <c r="L88" i="5" a="1"/>
  <c r="L88" i="5" s="1"/>
  <c r="I88" i="5"/>
  <c r="H88" i="5"/>
  <c r="L87" i="5"/>
  <c r="L87" i="5" a="1"/>
  <c r="I87" i="5"/>
  <c r="H87" i="5"/>
  <c r="L86" i="5" a="1"/>
  <c r="L86" i="5" s="1"/>
  <c r="I86" i="5"/>
  <c r="H86" i="5"/>
  <c r="L85" i="5" a="1"/>
  <c r="L85" i="5" s="1"/>
  <c r="I85" i="5"/>
  <c r="H85" i="5"/>
  <c r="L84" i="5"/>
  <c r="L84" i="5" a="1"/>
  <c r="I84" i="5"/>
  <c r="H84" i="5"/>
  <c r="L83" i="5" a="1"/>
  <c r="L83" i="5" s="1"/>
  <c r="I83" i="5"/>
  <c r="H83" i="5"/>
  <c r="L82" i="5" a="1"/>
  <c r="L82" i="5" s="1"/>
  <c r="I82" i="5"/>
  <c r="H82" i="5"/>
  <c r="L81" i="5"/>
  <c r="L81" i="5" a="1"/>
  <c r="I81" i="5"/>
  <c r="H81" i="5"/>
  <c r="L80" i="5" a="1"/>
  <c r="L80" i="5" s="1"/>
  <c r="I80" i="5"/>
  <c r="H80" i="5"/>
  <c r="L79" i="5" a="1"/>
  <c r="L79" i="5" s="1"/>
  <c r="I79" i="5"/>
  <c r="H79" i="5"/>
  <c r="L78" i="5"/>
  <c r="L78" i="5" a="1"/>
  <c r="I78" i="5"/>
  <c r="H78" i="5"/>
  <c r="L77" i="5" a="1"/>
  <c r="L77" i="5" s="1"/>
  <c r="I77" i="5"/>
  <c r="H77" i="5"/>
  <c r="L76" i="5" a="1"/>
  <c r="L76" i="5" s="1"/>
  <c r="I76" i="5"/>
  <c r="H76" i="5"/>
  <c r="L75" i="5"/>
  <c r="L75" i="5" a="1"/>
  <c r="I75" i="5"/>
  <c r="H75" i="5"/>
  <c r="L74" i="5" a="1"/>
  <c r="L74" i="5" s="1"/>
  <c r="I74" i="5"/>
  <c r="H74" i="5"/>
  <c r="L73" i="5" a="1"/>
  <c r="L73" i="5" s="1"/>
  <c r="I73" i="5"/>
  <c r="H73" i="5"/>
  <c r="L72" i="5"/>
  <c r="L72" i="5" a="1"/>
  <c r="I72" i="5"/>
  <c r="H72" i="5"/>
  <c r="L71" i="5" a="1"/>
  <c r="L71" i="5" s="1"/>
  <c r="I71" i="5"/>
  <c r="H71" i="5"/>
  <c r="L70" i="5" a="1"/>
  <c r="L70" i="5" s="1"/>
  <c r="I70" i="5"/>
  <c r="H70" i="5"/>
  <c r="L69" i="5" a="1"/>
  <c r="L69" i="5" s="1"/>
  <c r="I69" i="5"/>
  <c r="H69" i="5"/>
  <c r="L68" i="5" a="1"/>
  <c r="L68" i="5" s="1"/>
  <c r="I68" i="5"/>
  <c r="H68" i="5"/>
  <c r="L67" i="5" a="1"/>
  <c r="L67" i="5" s="1"/>
  <c r="I67" i="5"/>
  <c r="H67" i="5"/>
  <c r="L66" i="5" a="1"/>
  <c r="L66" i="5" s="1"/>
  <c r="I66" i="5"/>
  <c r="H66" i="5"/>
  <c r="L65" i="5" a="1"/>
  <c r="L65" i="5" s="1"/>
  <c r="I65" i="5"/>
  <c r="H65" i="5"/>
  <c r="L64" i="5" a="1"/>
  <c r="L64" i="5" s="1"/>
  <c r="I64" i="5"/>
  <c r="H64" i="5"/>
  <c r="L63" i="5" a="1"/>
  <c r="L63" i="5" s="1"/>
  <c r="I63" i="5"/>
  <c r="H63" i="5"/>
  <c r="L62" i="5" a="1"/>
  <c r="L62" i="5" s="1"/>
  <c r="I62" i="5"/>
  <c r="H62" i="5"/>
  <c r="L61" i="5" a="1"/>
  <c r="L61" i="5" s="1"/>
  <c r="I61" i="5"/>
  <c r="H61" i="5"/>
  <c r="L60" i="5" a="1"/>
  <c r="L60" i="5" s="1"/>
  <c r="I60" i="5"/>
  <c r="H60" i="5"/>
  <c r="L59" i="5" a="1"/>
  <c r="L59" i="5" s="1"/>
  <c r="I59" i="5"/>
  <c r="H59" i="5"/>
  <c r="L58" i="5" a="1"/>
  <c r="L58" i="5" s="1"/>
  <c r="I58" i="5"/>
  <c r="H58" i="5"/>
  <c r="L57" i="5" a="1"/>
  <c r="L57" i="5" s="1"/>
  <c r="I57" i="5"/>
  <c r="H57" i="5"/>
  <c r="L56" i="5" a="1"/>
  <c r="L56" i="5" s="1"/>
  <c r="I56" i="5"/>
  <c r="H56" i="5"/>
  <c r="L55" i="5" a="1"/>
  <c r="L55" i="5" s="1"/>
  <c r="I55" i="5"/>
  <c r="H55" i="5"/>
  <c r="L54" i="5" a="1"/>
  <c r="L54" i="5" s="1"/>
  <c r="I54" i="5"/>
  <c r="H54" i="5"/>
  <c r="L53" i="5" a="1"/>
  <c r="L53" i="5" s="1"/>
  <c r="I53" i="5"/>
  <c r="H53" i="5"/>
  <c r="L52" i="5" a="1"/>
  <c r="L52" i="5" s="1"/>
  <c r="I52" i="5"/>
  <c r="H52" i="5"/>
  <c r="L51" i="5" a="1"/>
  <c r="L51" i="5" s="1"/>
  <c r="I51" i="5"/>
  <c r="H51" i="5"/>
  <c r="L50" i="5" a="1"/>
  <c r="L50" i="5" s="1"/>
  <c r="I50" i="5"/>
  <c r="H50" i="5"/>
  <c r="L49" i="5" a="1"/>
  <c r="L49" i="5" s="1"/>
  <c r="I49" i="5"/>
  <c r="H49" i="5"/>
  <c r="L48" i="5" a="1"/>
  <c r="L48" i="5" s="1"/>
  <c r="I48" i="5"/>
  <c r="H48" i="5"/>
  <c r="L47" i="5" a="1"/>
  <c r="L47" i="5" s="1"/>
  <c r="I47" i="5"/>
  <c r="H47" i="5"/>
  <c r="L46" i="5" a="1"/>
  <c r="L46" i="5" s="1"/>
  <c r="I46" i="5"/>
  <c r="H46" i="5"/>
  <c r="L45" i="5" a="1"/>
  <c r="L45" i="5" s="1"/>
  <c r="I45" i="5"/>
  <c r="H45" i="5"/>
  <c r="L44" i="5" a="1"/>
  <c r="L44" i="5" s="1"/>
  <c r="I44" i="5"/>
  <c r="H44" i="5"/>
  <c r="L43" i="5" a="1"/>
  <c r="L43" i="5" s="1"/>
  <c r="I43" i="5"/>
  <c r="H43" i="5"/>
  <c r="L42" i="5" a="1"/>
  <c r="L42" i="5" s="1"/>
  <c r="I42" i="5"/>
  <c r="H42" i="5"/>
  <c r="L41" i="5" a="1"/>
  <c r="L41" i="5" s="1"/>
  <c r="I41" i="5"/>
  <c r="H41" i="5"/>
  <c r="L40" i="5" a="1"/>
  <c r="L40" i="5" s="1"/>
  <c r="I40" i="5"/>
  <c r="H40" i="5"/>
  <c r="L39" i="5" a="1"/>
  <c r="L39" i="5" s="1"/>
  <c r="I39" i="5"/>
  <c r="H39" i="5"/>
  <c r="L38" i="5" a="1"/>
  <c r="L38" i="5" s="1"/>
  <c r="I38" i="5"/>
  <c r="H38" i="5"/>
  <c r="L37" i="5" a="1"/>
  <c r="L37" i="5" s="1"/>
  <c r="I37" i="5"/>
  <c r="H37" i="5"/>
  <c r="L36" i="5" a="1"/>
  <c r="L36" i="5" s="1"/>
  <c r="I36" i="5"/>
  <c r="H36" i="5"/>
  <c r="L35" i="5" a="1"/>
  <c r="L35" i="5" s="1"/>
  <c r="I35" i="5"/>
  <c r="H35" i="5"/>
  <c r="L34" i="5" a="1"/>
  <c r="L34" i="5" s="1"/>
  <c r="I34" i="5"/>
  <c r="H34" i="5"/>
  <c r="L33" i="5" a="1"/>
  <c r="L33" i="5" s="1"/>
  <c r="I33" i="5"/>
  <c r="H33" i="5"/>
  <c r="L32" i="5" a="1"/>
  <c r="L32" i="5" s="1"/>
  <c r="I32" i="5"/>
  <c r="H32" i="5"/>
  <c r="L31" i="5" a="1"/>
  <c r="L31" i="5" s="1"/>
  <c r="I31" i="5"/>
  <c r="H31" i="5"/>
  <c r="L30" i="5" a="1"/>
  <c r="L30" i="5" s="1"/>
  <c r="I30" i="5"/>
  <c r="H30" i="5"/>
  <c r="L29" i="5" a="1"/>
  <c r="L29" i="5" s="1"/>
  <c r="I29" i="5"/>
  <c r="H29" i="5"/>
  <c r="L28" i="5" a="1"/>
  <c r="L28" i="5" s="1"/>
  <c r="I28" i="5"/>
  <c r="H28" i="5"/>
  <c r="L27" i="5" a="1"/>
  <c r="L27" i="5" s="1"/>
  <c r="I27" i="5"/>
  <c r="H27" i="5"/>
  <c r="L26" i="5" a="1"/>
  <c r="L26" i="5" s="1"/>
  <c r="I26" i="5"/>
  <c r="H26" i="5"/>
  <c r="L25" i="5" a="1"/>
  <c r="L25" i="5" s="1"/>
  <c r="I25" i="5"/>
  <c r="H25" i="5"/>
  <c r="L24" i="5" a="1"/>
  <c r="L24" i="5" s="1"/>
  <c r="I24" i="5"/>
  <c r="H24" i="5"/>
  <c r="L23" i="5" a="1"/>
  <c r="L23" i="5" s="1"/>
  <c r="I23" i="5"/>
  <c r="H23" i="5"/>
  <c r="L22" i="5" a="1"/>
  <c r="L22" i="5" s="1"/>
  <c r="I22" i="5"/>
  <c r="H22" i="5"/>
  <c r="L21" i="5" a="1"/>
  <c r="L21" i="5" s="1"/>
  <c r="I21" i="5"/>
  <c r="H21" i="5"/>
  <c r="L20" i="5" a="1"/>
  <c r="L20" i="5" s="1"/>
  <c r="I20" i="5"/>
  <c r="H20" i="5"/>
  <c r="L19" i="5" a="1"/>
  <c r="L19" i="5" s="1"/>
  <c r="I19" i="5"/>
  <c r="H19" i="5"/>
  <c r="L18" i="5" a="1"/>
  <c r="L18" i="5" s="1"/>
  <c r="I18" i="5"/>
  <c r="H18" i="5"/>
  <c r="L17" i="5" a="1"/>
  <c r="L17" i="5" s="1"/>
  <c r="I17" i="5"/>
  <c r="H17" i="5"/>
  <c r="L16" i="5" a="1"/>
  <c r="L16" i="5" s="1"/>
  <c r="I16" i="5"/>
  <c r="H16" i="5"/>
  <c r="L15" i="5" a="1"/>
  <c r="L15" i="5" s="1"/>
  <c r="I15" i="5"/>
  <c r="H15" i="5"/>
  <c r="L14" i="5" a="1"/>
  <c r="L14" i="5" s="1"/>
  <c r="I14" i="5"/>
  <c r="H14" i="5"/>
  <c r="L13" i="5" a="1"/>
  <c r="L13" i="5" s="1"/>
  <c r="I13" i="5"/>
  <c r="H13" i="5"/>
  <c r="L12" i="5" a="1"/>
  <c r="L12" i="5" s="1"/>
  <c r="I12" i="5"/>
  <c r="H12" i="5"/>
  <c r="L11" i="5" a="1"/>
  <c r="L11" i="5" s="1"/>
  <c r="I11" i="5"/>
  <c r="H11" i="5"/>
  <c r="L10" i="5" a="1"/>
  <c r="L10" i="5" s="1"/>
  <c r="I10" i="5"/>
  <c r="H10" i="5"/>
  <c r="L9" i="5" a="1"/>
  <c r="L9" i="5" s="1"/>
  <c r="I9" i="5"/>
  <c r="H9" i="5"/>
  <c r="L8" i="5" a="1"/>
  <c r="L8" i="5" s="1"/>
  <c r="I8" i="5"/>
  <c r="H8" i="5"/>
  <c r="L7" i="5" a="1"/>
  <c r="L7" i="5" s="1"/>
  <c r="I7" i="5"/>
  <c r="H7" i="5"/>
  <c r="L6" i="5" a="1"/>
  <c r="L6" i="5" s="1"/>
  <c r="I6" i="5"/>
  <c r="H6" i="5"/>
  <c r="L5" i="5" a="1"/>
  <c r="L5" i="5" s="1"/>
  <c r="I5" i="5"/>
  <c r="H5" i="5"/>
  <c r="L4" i="5" a="1"/>
  <c r="L4" i="5" s="1"/>
  <c r="I4" i="5"/>
  <c r="H4" i="5"/>
  <c r="L3" i="5" a="1"/>
  <c r="L3" i="5" s="1"/>
  <c r="I3" i="5"/>
  <c r="H3" i="5"/>
  <c r="L2" i="5" a="1"/>
  <c r="L2" i="5" s="1"/>
  <c r="I2" i="5"/>
  <c r="H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<sst xmlns="http://schemas.openxmlformats.org/spreadsheetml/2006/main" count="2244" uniqueCount="222">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</sst>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>
                <a:effectLst/>
              </a:rPr>
              <a:t>Comparing Price with Year Resale Value of German Cars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Chart'!$E$2:$E$156</c:f>
              <c:numCache>
                <c:formatCode>[$$-409]#,##0</c:formatCode>
                <c:ptCount val="21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31750</c:v>
                </c:pt>
                <c:pt idx="4">
                  <c:v>49900</c:v>
                </c:pt>
                <c:pt idx="5">
                  <c:v>69700</c:v>
                </c:pt>
                <c:pt idx="6">
                  <c:v>82600</c:v>
                </c:pt>
                <c:pt idx="7">
                  <c:v>38900</c:v>
                </c:pt>
                <c:pt idx="8">
                  <c:v>41000</c:v>
                </c:pt>
                <c:pt idx="9">
                  <c:v>41600</c:v>
                </c:pt>
                <c:pt idx="10">
                  <c:v>85500</c:v>
                </c:pt>
                <c:pt idx="11">
                  <c:v>35300</c:v>
                </c:pt>
                <c:pt idx="12">
                  <c:v>41430</c:v>
                </c:pt>
                <c:pt idx="13">
                  <c:v>71020</c:v>
                </c:pt>
                <c:pt idx="14">
                  <c:v>74970</c:v>
                </c:pt>
                <c:pt idx="15">
                  <c:v>14900</c:v>
                </c:pt>
                <c:pt idx="16">
                  <c:v>16700</c:v>
                </c:pt>
                <c:pt idx="17">
                  <c:v>21200</c:v>
                </c:pt>
                <c:pt idx="18">
                  <c:v>19990</c:v>
                </c:pt>
                <c:pt idx="19">
                  <c:v>17500</c:v>
                </c:pt>
                <c:pt idx="20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1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26050</c:v>
                </c:pt>
                <c:pt idx="4">
                  <c:v>41450</c:v>
                </c:pt>
                <c:pt idx="5">
                  <c:v>50375</c:v>
                </c:pt>
                <c:pt idx="6">
                  <c:v>58600</c:v>
                </c:pt>
                <c:pt idx="7">
                  <c:v>32436</c:v>
                </c:pt>
                <c:pt idx="8">
                  <c:v>28635</c:v>
                </c:pt>
                <c:pt idx="9">
                  <c:v>29200</c:v>
                </c:pt>
                <c:pt idx="10">
                  <c:v>63423</c:v>
                </c:pt>
                <c:pt idx="11">
                  <c:v>28720</c:v>
                </c:pt>
                <c:pt idx="12">
                  <c:v>41250</c:v>
                </c:pt>
                <c:pt idx="13">
                  <c:v>60625</c:v>
                </c:pt>
                <c:pt idx="14">
                  <c:v>67550</c:v>
                </c:pt>
                <c:pt idx="15">
                  <c:v>11425</c:v>
                </c:pt>
                <c:pt idx="16">
                  <c:v>13240</c:v>
                </c:pt>
                <c:pt idx="17">
                  <c:v>16725</c:v>
                </c:pt>
                <c:pt idx="18">
                  <c:v>16575</c:v>
                </c:pt>
                <c:pt idx="19">
                  <c:v>13760</c:v>
                </c:pt>
                <c:pt idx="20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25-4F98-8711-46E36E78D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644064"/>
        <c:axId val="1542637344"/>
      </c:scatterChart>
      <c:valAx>
        <c:axId val="15426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637344"/>
        <c:crosses val="autoZero"/>
        <c:crossBetween val="midCat"/>
      </c:valAx>
      <c:valAx>
        <c:axId val="154263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  <a:r>
                  <a:rPr lang="en-US" baseline="0"/>
                  <a:t> sale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64406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CA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Count of German Car Models by Price Range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endParaRPr>
          </a:p>
        </cx:rich>
      </cx:tx>
    </cx:title>
    <cx:plotArea>
      <cx:plotAreaRegion>
        <cx:plotSurface>
          <cx:spPr>
            <a:solidFill>
              <a:sysClr val="window" lastClr="FFFFFF"/>
            </a:solidFill>
          </cx:spPr>
        </cx:plotSurface>
        <cx:series layoutId="clusteredColumn" uniqueId="{6FEB563E-3087-47E0-A6B5-913B637DDDBE}">
          <cx:tx>
            <cx:txData>
              <cx:f>_xlchart.v1.1</cx:f>
              <cx:v>Price</cx:v>
            </cx:txData>
          </cx:tx>
          <cx:spPr>
            <a:solidFill>
              <a:schemeClr val="accent2">
                <a:lumMod val="75000"/>
              </a:schemeClr>
            </a:solidFill>
          </cx:spPr>
          <cx:dataLabels pos="ctr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CA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Unit Sales of Nissan Car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sunburst" uniqueId="{FB7DBEBE-7B13-41B5-B5B1-1BFA61F972B8}">
          <cx:tx>
            <cx:txData>
              <cx:f>_xlchart.v1.4</cx:f>
              <cx:v>Unit 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156</xdr:row>
      <xdr:rowOff>91440</xdr:rowOff>
    </xdr:from>
    <xdr:to>
      <xdr:col>5</xdr:col>
      <xdr:colOff>259080</xdr:colOff>
      <xdr:row>170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967785D-45F4-4108-28E5-C14187956F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4114800"/>
              <a:ext cx="5897880" cy="2560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158</xdr:row>
      <xdr:rowOff>114299</xdr:rowOff>
    </xdr:from>
    <xdr:to>
      <xdr:col>4</xdr:col>
      <xdr:colOff>807720</xdr:colOff>
      <xdr:row>173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2E2DA8-6943-C278-67CE-76574F193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159</xdr:row>
      <xdr:rowOff>167640</xdr:rowOff>
    </xdr:from>
    <xdr:to>
      <xdr:col>3</xdr:col>
      <xdr:colOff>784860</xdr:colOff>
      <xdr:row>173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FE32AE2-581F-5E61-B7B2-96E3F59D00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" y="2179320"/>
              <a:ext cx="4274820" cy="2415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24" headerRowCellStyle="60% - Accent1">
  <autoFilter ref="A1:T156" xr:uid="{142A1155-8F99-4580-8274-3FFCD265F860}"/>
  <tableColumns count="20">
    <tableColumn id="1" xr3:uid="{4B9AA109-1F19-476D-A9B6-B1BD150298E2}" name="Model" dataDxfId="23" dataCellStyle="60% - Accent6"/>
    <tableColumn id="22" xr3:uid="{3D333AAE-1CDE-45F1-AC55-B126227198DD}" name="Manufacturer" dataDxfId="22" dataCellStyle="60% - Accent2"/>
    <tableColumn id="3" xr3:uid="{E4DE99F8-35DD-43D2-8611-B97C14223A6B}" name="Vehicle_type" dataDxfId="21"/>
    <tableColumn id="4" xr3:uid="{64E575EF-001C-4DC3-991F-B42CFA24629E}" name="Unit Sales" dataDxfId="20"/>
    <tableColumn id="2" xr3:uid="{4D636058-8BC0-4031-AC1F-3C10D733F377}" name="Country of Sale" dataDxfId="19"/>
    <tableColumn id="5" xr3:uid="{DA444A2F-5F62-498A-8109-0E3751272B8F}" name="Price" dataDxfId="18"/>
    <tableColumn id="6" xr3:uid="{2FF26B61-B737-44ED-BF97-931CCA0A46BD}" name="Year Resale Value" dataDxfId="17"/>
    <tableColumn id="7" xr3:uid="{86E77E06-F6C5-46A9-96EB-A92321222F3D}" name="Retention %" dataDxfId="16" dataCellStyle="Percent">
      <calculatedColumnFormula>SUM(G2/F2)</calculatedColumnFormula>
    </tableColumn>
    <tableColumn id="8" xr3:uid="{55E10C1F-6C55-4A5E-A3EB-1115BF76E874}" name="Retention Value" dataDxfId="15" dataCellStyle="Percent">
      <calculatedColumnFormula>IF(H2&gt;69%, "GOOD", "POOR")</calculatedColumnFormula>
    </tableColumn>
    <tableColumn id="9" xr3:uid="{8292917E-8DA4-4F9D-8244-DEC6FDD00A2C}" name="Engine Size" dataDxfId="14"/>
    <tableColumn id="10" xr3:uid="{BA3526C0-6A8C-4E1F-8870-39829DF626C4}" name="Horsepower" dataDxfId="13"/>
    <tableColumn id="11" xr3:uid="{05C324EB-C271-4EB9-BA56-370637ABBC3E}" name="HP Level" dataDxfId="12">
      <calculatedColumnFormula array="1">_xlfn.IFS(K2&gt;299,"High HP",K2&gt;99,"Medium HP",K2&lt;100,"Low HP")</calculatedColumnFormula>
    </tableColumn>
    <tableColumn id="12" xr3:uid="{FB766415-B33A-4ACE-809A-4C1BDB0E8B41}" name="Wheelbase" dataDxfId="11"/>
    <tableColumn id="13" xr3:uid="{B085A94D-3CD6-4521-9731-E3CBCDA7349E}" name="Width" dataDxfId="10"/>
    <tableColumn id="14" xr3:uid="{7B791C10-F1D6-4EB1-8162-E25C0F71727E}" name="Length" dataDxfId="9"/>
    <tableColumn id="15" xr3:uid="{BD290489-39A5-4F1C-A90E-383F37200774}" name="Curb Weight" dataDxfId="8"/>
    <tableColumn id="16" xr3:uid="{3A7BE6D7-66A0-4F07-B647-591CB862494D}" name="Fuel Capacity" dataDxfId="7"/>
    <tableColumn id="17" xr3:uid="{05CC2CAF-C2C8-4CE3-921C-5005CF5A6B2E}" name="Fuel Efficiency" dataDxfId="6"/>
    <tableColumn id="18" xr3:uid="{365A2B5D-2C54-4FD4-9D8B-1762A302750F}" name="Latest Launch" dataDxfId="5"/>
    <tableColumn id="19" xr3:uid="{3B2AD771-F7F7-4004-AB52-A906050FB544}" name="Power Perf Factor" dataDxfId="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E64EC-BDE4-4134-A80A-DE94E0FF247D}" name="Table1456" displayName="Table1456" ref="A1:Q156" totalsRowShown="0" headerRowDxfId="81" headerRowCellStyle="60% - Accent1">
  <autoFilter ref="A1:Q156" xr:uid="{142A1155-8F99-4580-8274-3FFCD265F860}">
    <filterColumn colId="0">
      <filters>
        <filter val="Audi"/>
        <filter val="BMW"/>
        <filter val="Mercedes-B"/>
        <filter val="Volkswagen"/>
      </filters>
    </filterColumn>
  </autoFilter>
  <tableColumns count="17">
    <tableColumn id="22" xr3:uid="{14F7335A-AE8A-4C76-BEEB-58C4F20E3EB0}" name="Manufacturer" dataDxfId="80" dataCellStyle="60% - Accent2"/>
    <tableColumn id="1" xr3:uid="{82B50E58-05E7-4F9A-9103-0C6AA87C753B}" name="Model" dataDxfId="79" dataCellStyle="60% - Accent6"/>
    <tableColumn id="5" xr3:uid="{E8AE52F6-C51B-40A9-BFCE-E7E95F2ED1BD}" name="Price" dataDxfId="78" dataCellStyle="60% - Accent6"/>
    <tableColumn id="4" xr3:uid="{0D1D1DB7-24E1-4E2A-AB12-B1427D284445}" name="Unit Sales" dataDxfId="77"/>
    <tableColumn id="2" xr3:uid="{B2C9C514-AF7E-4B62-BDB3-E3F1C389570D}" name="Country of Sale" dataDxfId="76"/>
    <tableColumn id="6" xr3:uid="{28DEFE5A-B71B-4C05-8271-3FC119CF6B49}" name="Year Resale Value" dataDxfId="75"/>
    <tableColumn id="7" xr3:uid="{85E4EAEA-17F4-48AF-90AF-CD839C2E4AF8}" name="Retention %" dataDxfId="74" dataCellStyle="Percent">
      <calculatedColumnFormula>SUM(F2/C2)</calculatedColumnFormula>
    </tableColumn>
    <tableColumn id="9" xr3:uid="{E188FE5C-CF33-4D28-80BA-5646AFDCEB44}" name="Engine Size" dataDxfId="73"/>
    <tableColumn id="10" xr3:uid="{F3B9B2F7-FB45-4DB0-AB5C-95341EB5094A}" name="Horsepower" dataDxfId="72"/>
    <tableColumn id="12" xr3:uid="{FB367671-520C-44C5-AA67-E552F29E5E7A}" name="Wheelbase" dataDxfId="71"/>
    <tableColumn id="13" xr3:uid="{765AEA12-B5B8-4786-8D56-68CF0AE1E1F4}" name="Width" dataDxfId="70"/>
    <tableColumn id="14" xr3:uid="{6064E524-3E07-42F2-99AE-D335607C9E56}" name="Length" dataDxfId="69"/>
    <tableColumn id="15" xr3:uid="{ACBCA738-77AF-4E10-AA1B-5953F9AB47C8}" name="Curb Weight" dataDxfId="68"/>
    <tableColumn id="16" xr3:uid="{659CC407-344B-48C2-B8C9-FC6B07757186}" name="Fuel Capacity" dataDxfId="67"/>
    <tableColumn id="17" xr3:uid="{4BAFB93E-53CE-496A-992A-055292CDCD93}" name="Fuel Efficiency" dataDxfId="66"/>
    <tableColumn id="18" xr3:uid="{FB9D35B2-188B-4A9F-BB26-0ECDA9326567}" name="Latest Launch" dataDxfId="65"/>
    <tableColumn id="19" xr3:uid="{4F80A422-6070-4137-841E-DF6222008D3F}" name="Power Perf Factor" dataDxfId="64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E01FB-4AB2-4504-9773-98FBE48105EF}" name="Table14563" displayName="Table14563" ref="A1:Q156" totalsRowShown="0" headerRowDxfId="63" headerRowCellStyle="60% - Accent1">
  <autoFilter ref="A1:Q156" xr:uid="{142A1155-8F99-4580-8274-3FFCD265F860}">
    <filterColumn colId="0">
      <filters>
        <filter val="Audi"/>
        <filter val="Mercedes-B"/>
        <filter val="Porsche"/>
        <filter val="Volkswagen"/>
      </filters>
    </filterColumn>
  </autoFilter>
  <tableColumns count="17">
    <tableColumn id="22" xr3:uid="{91CE6A5E-6B2B-4AF5-839F-98417D4C9047}" name="Manufacturer" dataDxfId="62" dataCellStyle="60% - Accent2"/>
    <tableColumn id="1" xr3:uid="{12025978-5681-4374-8D6B-C4E061D64884}" name="Model" dataDxfId="61" dataCellStyle="60% - Accent6"/>
    <tableColumn id="4" xr3:uid="{B28E7D6E-B2FF-436F-9484-1C11E8983228}" name="Unit Sales" dataDxfId="60"/>
    <tableColumn id="2" xr3:uid="{8223E423-7047-4F27-B57A-8825B42ED60E}" name="Country of Sale" dataDxfId="59"/>
    <tableColumn id="5" xr3:uid="{BA23F80E-7079-451F-B6B5-D7C6A60F6B0D}" name="Price" dataDxfId="58"/>
    <tableColumn id="6" xr3:uid="{8F28E829-282D-4427-A21A-71607DC66B6B}" name="Year Resale Value" dataDxfId="57"/>
    <tableColumn id="7" xr3:uid="{EBC6681A-3F72-40C9-A9D8-86823B2E0E46}" name="Retention %" dataDxfId="56" dataCellStyle="Percent">
      <calculatedColumnFormula>SUM(F2/E2)</calculatedColumnFormula>
    </tableColumn>
    <tableColumn id="9" xr3:uid="{556262D6-3318-40BF-B960-96A646A53E98}" name="Engine Size" dataDxfId="55"/>
    <tableColumn id="10" xr3:uid="{8295481C-56CE-4290-9908-DD0C17E5CFC4}" name="Horsepower" dataDxfId="54"/>
    <tableColumn id="12" xr3:uid="{971C0EB2-0DB7-4D6D-B2DA-46EEC3DE683E}" name="Wheelbase" dataDxfId="53"/>
    <tableColumn id="13" xr3:uid="{28FD83B5-1F1A-443A-9B49-7538C9D79F2A}" name="Width" dataDxfId="52"/>
    <tableColumn id="14" xr3:uid="{B4405337-82AF-4943-AA41-EA1ACED9C818}" name="Length" dataDxfId="51"/>
    <tableColumn id="15" xr3:uid="{ED71B773-708C-4622-B23C-F6616B82C11D}" name="Curb Weight" dataDxfId="50"/>
    <tableColumn id="16" xr3:uid="{7682233D-A95C-4255-A1B6-6A3BFB29700E}" name="Fuel Capacity" dataDxfId="49"/>
    <tableColumn id="17" xr3:uid="{B4B9B5D6-C278-4DB9-8AA7-661C866E0084}" name="Fuel Efficiency" dataDxfId="48"/>
    <tableColumn id="18" xr3:uid="{FE302E7E-B6EF-488A-AD4F-1F30973BC101}" name="Latest Launch" dataDxfId="47"/>
    <tableColumn id="19" xr3:uid="{B0BBDF48-3FF4-4A0C-8E0A-C21BB58B6630}" name="Power Perf Factor" dataDxfId="46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45" headerRowCellStyle="60% - Accent1">
  <autoFilter ref="A1:T156" xr:uid="{142A1155-8F99-4580-8274-3FFCD265F860}">
    <filterColumn colId="0">
      <filters>
        <filter val="Nissan"/>
      </filters>
    </filterColumn>
  </autoFilter>
  <tableColumns count="20">
    <tableColumn id="22" xr3:uid="{AEF006F6-F4FC-4CCF-AE4B-09A687AB7408}" name="Manufacturer" dataDxfId="44" dataCellStyle="60% - Accent2"/>
    <tableColumn id="1" xr3:uid="{7A916ACA-EDDE-4941-939F-0BBA1A552780}" name="Model" dataDxfId="43" dataCellStyle="60% - Accent6"/>
    <tableColumn id="4" xr3:uid="{49DE7188-A6D4-4C68-8AD7-6969AE1EFBAD}" name="Unit Sales" dataDxfId="42"/>
    <tableColumn id="2" xr3:uid="{D5464C79-6266-429E-8E0E-2C16591E74A7}" name="Country of Sale" dataDxfId="41"/>
    <tableColumn id="5" xr3:uid="{61F5CF5C-2638-49F7-ADBB-E6DCC2105DDC}" name="Price" dataDxfId="40"/>
    <tableColumn id="6" xr3:uid="{71F1001E-E1EB-4575-8BD1-99D39A39FEE2}" name="Year Resale Value" dataDxfId="39"/>
    <tableColumn id="7" xr3:uid="{ADD46810-432C-4F1E-8E49-11A215407E10}" name="Retention %" dataDxfId="38" dataCellStyle="Percent">
      <calculatedColumnFormula>SUM(F2/E2)</calculatedColumnFormula>
    </tableColumn>
    <tableColumn id="8" xr3:uid="{C26BE21E-AAB6-4C59-B770-72A31BD8E54A}" name="Retention Value" dataDxfId="37" dataCellStyle="Percent">
      <calculatedColumnFormula>IF(G2&gt;69%, "GOOD", "POOR")</calculatedColumnFormula>
    </tableColumn>
    <tableColumn id="9" xr3:uid="{ED48A1E6-8709-40CB-B4A1-FC11109C9148}" name="Engine Size" dataDxfId="36"/>
    <tableColumn id="10" xr3:uid="{6BEE2B02-E7FD-41D2-823E-1F3F7DD8995A}" name="Horsepower" dataDxfId="35"/>
    <tableColumn id="11" xr3:uid="{921C7F16-FF07-49A2-B351-865D79784818}" name="HP Level" dataDxfId="34">
      <calculatedColumnFormula array="1">_xlfn.IFS(J2&gt;299,"High HP",J2&gt;99,"Medium HP",J2&lt;100,"Low HP")</calculatedColumnFormula>
    </tableColumn>
    <tableColumn id="12" xr3:uid="{0EEB6C67-ED0B-4003-83D2-6EAA6CEB0393}" name="Wheelbase" dataDxfId="33"/>
    <tableColumn id="13" xr3:uid="{79D5475F-F00D-4922-BF4D-5A7250040B06}" name="Width" dataDxfId="32"/>
    <tableColumn id="14" xr3:uid="{543EA1E9-2B79-4BEA-B85D-D60E417A3753}" name="Length" dataDxfId="31"/>
    <tableColumn id="15" xr3:uid="{1E36383E-707B-4A74-A571-0AFD4DF53D10}" name="Curb Weight" dataDxfId="30"/>
    <tableColumn id="16" xr3:uid="{5F409D9F-0D52-423D-B266-2D76A8D2892C}" name="Fuel Capacity" dataDxfId="29"/>
    <tableColumn id="17" xr3:uid="{888E6C11-DDD4-4A7A-8D3B-A716266E9139}" name="Fuel Efficiency" dataDxfId="28"/>
    <tableColumn id="18" xr3:uid="{D4CAA446-5588-4C8D-9417-C74310D43A3D}" name="Latest Launch" dataDxfId="27"/>
    <tableColumn id="19" xr3:uid="{A22816CA-29AC-4D0A-8077-10D4C22F7959}" name="Power Perf Factor" dataDxfId="26"/>
    <tableColumn id="3" xr3:uid="{350E1F65-A222-47D0-ABB5-D25D372B1C43}" name="Vehicle_type" dataDxfId="25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tabSelected="1" zoomScaleNormal="100" workbookViewId="0">
      <selection activeCell="D53" sqref="D53"/>
    </sheetView>
  </sheetViews>
  <sheetFormatPr defaultColWidth="8.77734375" defaultRowHeight="14.4" x14ac:dyDescent="0.3"/>
  <cols>
    <col min="1" max="1" width="15.44140625" bestFit="1" customWidth="1"/>
    <col min="2" max="2" width="15.44140625" customWidth="1"/>
    <col min="3" max="3" width="14.77734375" customWidth="1"/>
    <col min="4" max="4" width="20.44140625" bestFit="1" customWidth="1"/>
    <col min="5" max="5" width="18.77734375" customWidth="1"/>
    <col min="6" max="6" width="12.6640625" style="9" customWidth="1"/>
    <col min="7" max="7" width="19.44140625" bestFit="1" customWidth="1"/>
    <col min="8" max="8" width="14" customWidth="1"/>
    <col min="9" max="9" width="17.44140625" customWidth="1"/>
    <col min="10" max="10" width="13.109375" customWidth="1"/>
    <col min="11" max="11" width="14" customWidth="1"/>
    <col min="12" max="12" width="11.77734375" customWidth="1"/>
    <col min="13" max="13" width="11" hidden="1" customWidth="1"/>
    <col min="14" max="14" width="6.44140625" hidden="1" customWidth="1"/>
    <col min="15" max="15" width="7" hidden="1" customWidth="1"/>
    <col min="16" max="16" width="12.33203125" hidden="1" customWidth="1"/>
    <col min="17" max="17" width="13.109375" hidden="1" customWidth="1"/>
    <col min="18" max="18" width="14.6640625" hidden="1" customWidth="1"/>
    <col min="19" max="19" width="13.44140625" hidden="1" customWidth="1"/>
    <col min="20" max="20" width="17.77734375" hidden="1" customWidth="1"/>
    <col min="22" max="22" width="11.44140625" bestFit="1" customWidth="1"/>
    <col min="24" max="24" width="11.33203125" bestFit="1" customWidth="1"/>
    <col min="25" max="25" width="7.44140625" bestFit="1" customWidth="1"/>
    <col min="26" max="26" width="11.44140625" bestFit="1" customWidth="1"/>
    <col min="27" max="27" width="7.77734375" bestFit="1" customWidth="1"/>
    <col min="28" max="28" width="16.44140625" bestFit="1" customWidth="1"/>
  </cols>
  <sheetData>
    <row r="1" spans="1:24" s="1" customFormat="1" x14ac:dyDescent="0.3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 x14ac:dyDescent="0.3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 x14ac:dyDescent="0.3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 x14ac:dyDescent="0.3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 x14ac:dyDescent="0.3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 x14ac:dyDescent="0.3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 x14ac:dyDescent="0.3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 x14ac:dyDescent="0.3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 x14ac:dyDescent="0.3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 x14ac:dyDescent="0.3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 x14ac:dyDescent="0.3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 x14ac:dyDescent="0.3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 x14ac:dyDescent="0.3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 x14ac:dyDescent="0.3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 x14ac:dyDescent="0.3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 x14ac:dyDescent="0.3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 x14ac:dyDescent="0.3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 x14ac:dyDescent="0.3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 x14ac:dyDescent="0.3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 x14ac:dyDescent="0.3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 x14ac:dyDescent="0.3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</row>
    <row r="22" spans="1:27" x14ac:dyDescent="0.3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 x14ac:dyDescent="0.3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 x14ac:dyDescent="0.3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 x14ac:dyDescent="0.3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 x14ac:dyDescent="0.3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 x14ac:dyDescent="0.3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 x14ac:dyDescent="0.3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 x14ac:dyDescent="0.3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 x14ac:dyDescent="0.3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 x14ac:dyDescent="0.3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 x14ac:dyDescent="0.3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 x14ac:dyDescent="0.3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 x14ac:dyDescent="0.3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 x14ac:dyDescent="0.3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 x14ac:dyDescent="0.3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 x14ac:dyDescent="0.3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 x14ac:dyDescent="0.3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 x14ac:dyDescent="0.3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 x14ac:dyDescent="0.3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 x14ac:dyDescent="0.3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 x14ac:dyDescent="0.3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 x14ac:dyDescent="0.3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 x14ac:dyDescent="0.3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 x14ac:dyDescent="0.3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 x14ac:dyDescent="0.3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 x14ac:dyDescent="0.3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 x14ac:dyDescent="0.3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 x14ac:dyDescent="0.3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 x14ac:dyDescent="0.3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 x14ac:dyDescent="0.3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 x14ac:dyDescent="0.3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 x14ac:dyDescent="0.3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 x14ac:dyDescent="0.3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 x14ac:dyDescent="0.3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 x14ac:dyDescent="0.3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 x14ac:dyDescent="0.3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 x14ac:dyDescent="0.3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 x14ac:dyDescent="0.3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 x14ac:dyDescent="0.3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 x14ac:dyDescent="0.3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 x14ac:dyDescent="0.3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 x14ac:dyDescent="0.3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 x14ac:dyDescent="0.3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 x14ac:dyDescent="0.3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 x14ac:dyDescent="0.3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 x14ac:dyDescent="0.3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 x14ac:dyDescent="0.3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 x14ac:dyDescent="0.3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 x14ac:dyDescent="0.3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 x14ac:dyDescent="0.3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 x14ac:dyDescent="0.3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 x14ac:dyDescent="0.3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 x14ac:dyDescent="0.3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 x14ac:dyDescent="0.3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 x14ac:dyDescent="0.3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 x14ac:dyDescent="0.3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 x14ac:dyDescent="0.3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 x14ac:dyDescent="0.3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 x14ac:dyDescent="0.3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 x14ac:dyDescent="0.3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 x14ac:dyDescent="0.3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 x14ac:dyDescent="0.3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 x14ac:dyDescent="0.3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 x14ac:dyDescent="0.3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 x14ac:dyDescent="0.3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 x14ac:dyDescent="0.3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 x14ac:dyDescent="0.3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 x14ac:dyDescent="0.3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 x14ac:dyDescent="0.3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 x14ac:dyDescent="0.3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 x14ac:dyDescent="0.3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 x14ac:dyDescent="0.3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 x14ac:dyDescent="0.3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 x14ac:dyDescent="0.3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 x14ac:dyDescent="0.3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 x14ac:dyDescent="0.3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 x14ac:dyDescent="0.3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 x14ac:dyDescent="0.3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 x14ac:dyDescent="0.3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 x14ac:dyDescent="0.3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 x14ac:dyDescent="0.3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 x14ac:dyDescent="0.3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 x14ac:dyDescent="0.3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 x14ac:dyDescent="0.3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 x14ac:dyDescent="0.3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 x14ac:dyDescent="0.3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 x14ac:dyDescent="0.3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 x14ac:dyDescent="0.3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 x14ac:dyDescent="0.3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 x14ac:dyDescent="0.3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 x14ac:dyDescent="0.3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 x14ac:dyDescent="0.3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 x14ac:dyDescent="0.3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 x14ac:dyDescent="0.3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 x14ac:dyDescent="0.3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 x14ac:dyDescent="0.3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 x14ac:dyDescent="0.3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 x14ac:dyDescent="0.3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 x14ac:dyDescent="0.3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 x14ac:dyDescent="0.3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 x14ac:dyDescent="0.3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 x14ac:dyDescent="0.3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 x14ac:dyDescent="0.3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 x14ac:dyDescent="0.3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 x14ac:dyDescent="0.3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 x14ac:dyDescent="0.3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 x14ac:dyDescent="0.3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 x14ac:dyDescent="0.3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 x14ac:dyDescent="0.3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 x14ac:dyDescent="0.3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 x14ac:dyDescent="0.3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 x14ac:dyDescent="0.3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 x14ac:dyDescent="0.3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 x14ac:dyDescent="0.3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 x14ac:dyDescent="0.3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 x14ac:dyDescent="0.3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 x14ac:dyDescent="0.3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 x14ac:dyDescent="0.3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 x14ac:dyDescent="0.3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 x14ac:dyDescent="0.3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 x14ac:dyDescent="0.3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 x14ac:dyDescent="0.3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 x14ac:dyDescent="0.3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 x14ac:dyDescent="0.3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 x14ac:dyDescent="0.3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 x14ac:dyDescent="0.3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 x14ac:dyDescent="0.3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 x14ac:dyDescent="0.3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 x14ac:dyDescent="0.3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 x14ac:dyDescent="0.3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 x14ac:dyDescent="0.3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 x14ac:dyDescent="0.3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 x14ac:dyDescent="0.3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 x14ac:dyDescent="0.3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 x14ac:dyDescent="0.3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1" priority="1" operator="containsText" text="POOR">
      <formula>NOT(ISERROR(SEARCH("POOR",I2)))</formula>
    </cfRule>
    <cfRule type="containsText" dxfId="0" priority="2" operator="containsText" text="GOOD">
      <formula>NOT(ISERROR(SEARCH("GOOD",I2)))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996-CAC0-4D74-80B9-33F6D6694C86}">
  <dimension ref="A1:X156"/>
  <sheetViews>
    <sheetView topLeftCell="A165" zoomScaleNormal="100" workbookViewId="0">
      <selection activeCell="H189" sqref="H189"/>
    </sheetView>
  </sheetViews>
  <sheetFormatPr defaultColWidth="8.77734375" defaultRowHeight="14.4" x14ac:dyDescent="0.3"/>
  <cols>
    <col min="1" max="1" width="15.44140625" customWidth="1"/>
    <col min="2" max="2" width="15.44140625" bestFit="1" customWidth="1"/>
    <col min="3" max="3" width="12.6640625" style="9" customWidth="1"/>
    <col min="4" max="4" width="20.44140625" bestFit="1" customWidth="1"/>
    <col min="5" max="5" width="18.77734375" customWidth="1"/>
    <col min="6" max="6" width="19.44140625" bestFit="1" customWidth="1"/>
    <col min="7" max="7" width="14" customWidth="1"/>
    <col min="8" max="8" width="13.109375" customWidth="1"/>
    <col min="9" max="9" width="14" customWidth="1"/>
    <col min="10" max="10" width="11" hidden="1" customWidth="1"/>
    <col min="11" max="11" width="6.44140625" hidden="1" customWidth="1"/>
    <col min="12" max="12" width="7" hidden="1" customWidth="1"/>
    <col min="13" max="13" width="12.33203125" hidden="1" customWidth="1"/>
    <col min="14" max="14" width="13.109375" hidden="1" customWidth="1"/>
    <col min="15" max="15" width="14.6640625" hidden="1" customWidth="1"/>
    <col min="16" max="16" width="13.44140625" hidden="1" customWidth="1"/>
    <col min="17" max="17" width="17.77734375" hidden="1" customWidth="1"/>
    <col min="19" max="19" width="11.44140625" bestFit="1" customWidth="1"/>
    <col min="21" max="21" width="11.33203125" bestFit="1" customWidth="1"/>
    <col min="22" max="22" width="7.44140625" bestFit="1" customWidth="1"/>
    <col min="23" max="23" width="11.44140625" bestFit="1" customWidth="1"/>
    <col min="24" max="24" width="7.77734375" bestFit="1" customWidth="1"/>
    <col min="25" max="25" width="16.44140625" bestFit="1" customWidth="1"/>
  </cols>
  <sheetData>
    <row r="1" spans="1:21" s="1" customFormat="1" x14ac:dyDescent="0.3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3">
      <c r="A2" s="3" t="s">
        <v>17</v>
      </c>
      <c r="B2" s="4" t="s">
        <v>18</v>
      </c>
      <c r="C2" s="11">
        <v>21500</v>
      </c>
      <c r="D2" s="10">
        <v>16919</v>
      </c>
      <c r="E2" s="10" t="s">
        <v>19</v>
      </c>
      <c r="F2" s="11">
        <v>16360</v>
      </c>
      <c r="G2" s="12">
        <f t="shared" ref="G2:G33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3">
      <c r="A3" s="3" t="s">
        <v>17</v>
      </c>
      <c r="B3" s="4" t="s">
        <v>20</v>
      </c>
      <c r="C3" s="11">
        <v>28400</v>
      </c>
      <c r="D3" s="10">
        <v>39384</v>
      </c>
      <c r="E3" s="10" t="s">
        <v>19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3">
      <c r="A4" s="3" t="s">
        <v>17</v>
      </c>
      <c r="B4" s="4" t="s">
        <v>21</v>
      </c>
      <c r="C4" s="11">
        <v>42000</v>
      </c>
      <c r="D4" s="10">
        <v>8588</v>
      </c>
      <c r="E4" s="10" t="s">
        <v>22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3">
      <c r="A5" s="3" t="s">
        <v>23</v>
      </c>
      <c r="B5" s="4" t="s">
        <v>24</v>
      </c>
      <c r="C5" s="11">
        <v>23990</v>
      </c>
      <c r="D5" s="10">
        <v>20397</v>
      </c>
      <c r="E5" s="10" t="s">
        <v>22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3">
      <c r="A6" s="3" t="s">
        <v>23</v>
      </c>
      <c r="B6" s="4" t="s">
        <v>25</v>
      </c>
      <c r="C6" s="11">
        <v>33950</v>
      </c>
      <c r="D6" s="10">
        <v>18780</v>
      </c>
      <c r="E6" s="10" t="s">
        <v>26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3">
      <c r="A7" s="3" t="s">
        <v>23</v>
      </c>
      <c r="B7" s="4" t="s">
        <v>27</v>
      </c>
      <c r="C7" s="11">
        <v>62000</v>
      </c>
      <c r="D7" s="10">
        <v>1380</v>
      </c>
      <c r="E7" s="10" t="s">
        <v>26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3">
      <c r="A8" s="3" t="s">
        <v>28</v>
      </c>
      <c r="B8" s="4" t="s">
        <v>29</v>
      </c>
      <c r="C8" s="11">
        <v>26990</v>
      </c>
      <c r="D8" s="10">
        <v>19747</v>
      </c>
      <c r="E8" s="10" t="s">
        <v>30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3">
      <c r="A9" s="3" t="s">
        <v>28</v>
      </c>
      <c r="B9" s="4" t="s">
        <v>31</v>
      </c>
      <c r="C9" s="11">
        <v>33400</v>
      </c>
      <c r="D9" s="10">
        <v>9231</v>
      </c>
      <c r="E9" s="10" t="s">
        <v>30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3">
      <c r="A10" s="3" t="s">
        <v>28</v>
      </c>
      <c r="B10" s="4" t="s">
        <v>32</v>
      </c>
      <c r="C10" s="11">
        <v>38900</v>
      </c>
      <c r="D10" s="10">
        <v>17527</v>
      </c>
      <c r="E10" s="10" t="s">
        <v>19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3">
      <c r="A11" s="3" t="s">
        <v>33</v>
      </c>
      <c r="B11" s="4" t="s">
        <v>34</v>
      </c>
      <c r="C11" s="11">
        <v>21975</v>
      </c>
      <c r="D11" s="10">
        <v>91561</v>
      </c>
      <c r="E11" s="10" t="s">
        <v>35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3">
      <c r="A12" s="3" t="s">
        <v>33</v>
      </c>
      <c r="B12" s="4" t="s">
        <v>36</v>
      </c>
      <c r="C12" s="11">
        <v>25300</v>
      </c>
      <c r="D12" s="10">
        <v>39350</v>
      </c>
      <c r="E12" s="10" t="s">
        <v>19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3">
      <c r="A13" s="3" t="s">
        <v>33</v>
      </c>
      <c r="B13" s="4" t="s">
        <v>37</v>
      </c>
      <c r="C13" s="11">
        <v>31965</v>
      </c>
      <c r="D13" s="10">
        <v>27851</v>
      </c>
      <c r="E13" s="10" t="s">
        <v>38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3">
      <c r="A14" s="3" t="s">
        <v>33</v>
      </c>
      <c r="B14" s="4" t="s">
        <v>39</v>
      </c>
      <c r="C14" s="11">
        <v>27885</v>
      </c>
      <c r="D14" s="10">
        <v>83257</v>
      </c>
      <c r="E14" s="10" t="s">
        <v>40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3">
      <c r="A15" s="3" t="s">
        <v>41</v>
      </c>
      <c r="B15" s="4" t="s">
        <v>42</v>
      </c>
      <c r="C15" s="11">
        <v>39895</v>
      </c>
      <c r="D15" s="10">
        <v>63729</v>
      </c>
      <c r="E15" s="10" t="s">
        <v>40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3">
      <c r="A16" s="3" t="s">
        <v>41</v>
      </c>
      <c r="B16" s="4" t="s">
        <v>43</v>
      </c>
      <c r="C16" s="11">
        <v>44475</v>
      </c>
      <c r="D16" s="10">
        <v>15943</v>
      </c>
      <c r="E16" s="10" t="s">
        <v>40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3">
      <c r="A17" s="3" t="s">
        <v>41</v>
      </c>
      <c r="B17" s="4" t="s">
        <v>44</v>
      </c>
      <c r="C17" s="11">
        <v>39665</v>
      </c>
      <c r="D17" s="10">
        <v>6536</v>
      </c>
      <c r="E17" s="10" t="s">
        <v>45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3">
      <c r="A18" s="3" t="s">
        <v>41</v>
      </c>
      <c r="B18" s="4" t="s">
        <v>46</v>
      </c>
      <c r="C18" s="11">
        <v>31010</v>
      </c>
      <c r="D18" s="10">
        <v>11185</v>
      </c>
      <c r="E18" s="10" t="s">
        <v>47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3">
      <c r="A19" s="3" t="s">
        <v>41</v>
      </c>
      <c r="B19" s="4" t="s">
        <v>48</v>
      </c>
      <c r="C19" s="11">
        <v>46225</v>
      </c>
      <c r="D19" s="10">
        <v>14785</v>
      </c>
      <c r="E19" s="10" t="s">
        <v>49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3">
      <c r="A20" s="3" t="s">
        <v>50</v>
      </c>
      <c r="B20" s="4" t="s">
        <v>51</v>
      </c>
      <c r="C20" s="11">
        <v>13260</v>
      </c>
      <c r="D20" s="10">
        <v>145519</v>
      </c>
      <c r="E20" s="10" t="s">
        <v>49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3">
      <c r="A21" s="3" t="s">
        <v>50</v>
      </c>
      <c r="B21" s="4" t="s">
        <v>52</v>
      </c>
      <c r="C21" s="11">
        <v>16535</v>
      </c>
      <c r="D21" s="10">
        <v>135126</v>
      </c>
      <c r="E21" s="10" t="s">
        <v>49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hidden="1" x14ac:dyDescent="0.3">
      <c r="A22" s="3" t="s">
        <v>50</v>
      </c>
      <c r="B22" s="4" t="s">
        <v>53</v>
      </c>
      <c r="C22" s="11">
        <v>18890</v>
      </c>
      <c r="D22" s="10">
        <v>24629</v>
      </c>
      <c r="E22" s="10" t="s">
        <v>54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3">
      <c r="A23" s="3" t="s">
        <v>50</v>
      </c>
      <c r="B23" s="4" t="s">
        <v>55</v>
      </c>
      <c r="C23" s="11">
        <v>19390</v>
      </c>
      <c r="D23" s="10">
        <v>42593</v>
      </c>
      <c r="E23" s="10" t="s">
        <v>19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3">
      <c r="A24" s="3" t="s">
        <v>50</v>
      </c>
      <c r="B24" s="4" t="s">
        <v>56</v>
      </c>
      <c r="C24" s="11">
        <v>24340</v>
      </c>
      <c r="D24" s="10">
        <v>26402</v>
      </c>
      <c r="E24" s="10" t="s">
        <v>19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3">
      <c r="A25" s="3" t="s">
        <v>50</v>
      </c>
      <c r="B25" s="4" t="s">
        <v>57</v>
      </c>
      <c r="C25" s="11">
        <v>55705</v>
      </c>
      <c r="D25" s="10">
        <v>17947</v>
      </c>
      <c r="E25" s="10" t="s">
        <v>45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3">
      <c r="A26" s="3" t="s">
        <v>50</v>
      </c>
      <c r="B26" s="4" t="s">
        <v>58</v>
      </c>
      <c r="C26" s="11">
        <v>13960</v>
      </c>
      <c r="D26" s="10">
        <v>32299</v>
      </c>
      <c r="E26" s="10" t="s">
        <v>47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3">
      <c r="A27" s="3" t="s">
        <v>50</v>
      </c>
      <c r="B27" s="4" t="s">
        <v>59</v>
      </c>
      <c r="C27" s="11">
        <v>9235</v>
      </c>
      <c r="D27" s="10">
        <v>21855</v>
      </c>
      <c r="E27" s="10" t="s">
        <v>47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3">
      <c r="A28" s="3" t="s">
        <v>50</v>
      </c>
      <c r="B28" s="4" t="s">
        <v>60</v>
      </c>
      <c r="C28" s="11">
        <v>18890</v>
      </c>
      <c r="D28" s="10">
        <v>107995</v>
      </c>
      <c r="E28" s="10" t="s">
        <v>19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3">
      <c r="A29" s="3" t="s">
        <v>61</v>
      </c>
      <c r="B29" s="4" t="s">
        <v>62</v>
      </c>
      <c r="C29" s="11">
        <v>19840</v>
      </c>
      <c r="D29" s="10">
        <v>7854</v>
      </c>
      <c r="E29" s="10" t="s">
        <v>19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3">
      <c r="A30" s="3" t="s">
        <v>61</v>
      </c>
      <c r="B30" s="4" t="s">
        <v>63</v>
      </c>
      <c r="C30" s="11">
        <v>24495</v>
      </c>
      <c r="D30" s="10">
        <v>32775</v>
      </c>
      <c r="E30" s="10" t="s">
        <v>19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3">
      <c r="A31" s="3" t="s">
        <v>61</v>
      </c>
      <c r="B31" s="4" t="s">
        <v>64</v>
      </c>
      <c r="C31" s="11">
        <v>22245</v>
      </c>
      <c r="D31" s="10">
        <v>31148</v>
      </c>
      <c r="E31" s="10" t="s">
        <v>19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3">
      <c r="A32" s="3" t="s">
        <v>61</v>
      </c>
      <c r="B32" s="4" t="s">
        <v>65</v>
      </c>
      <c r="C32" s="11">
        <v>16480</v>
      </c>
      <c r="D32" s="10">
        <v>32305.999999999996</v>
      </c>
      <c r="E32" s="10" t="s">
        <v>19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3">
      <c r="A33" s="3" t="s">
        <v>61</v>
      </c>
      <c r="B33" s="4" t="s">
        <v>66</v>
      </c>
      <c r="C33" s="11">
        <v>28340</v>
      </c>
      <c r="D33" s="10">
        <v>13462</v>
      </c>
      <c r="E33" s="10" t="s">
        <v>19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3">
      <c r="A34" s="3" t="s">
        <v>61</v>
      </c>
      <c r="B34" s="4" t="s">
        <v>67</v>
      </c>
      <c r="C34" s="11">
        <v>29185</v>
      </c>
      <c r="D34" s="10">
        <v>30696</v>
      </c>
      <c r="E34" s="10" t="s">
        <v>19</v>
      </c>
      <c r="F34" s="11">
        <v>18425</v>
      </c>
      <c r="G34" s="12">
        <f t="shared" ref="G34:G65" si="1">SUM(F34/C34)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3">
      <c r="A35" s="3" t="s">
        <v>68</v>
      </c>
      <c r="B35" s="4" t="s">
        <v>69</v>
      </c>
      <c r="C35" s="11">
        <v>12640</v>
      </c>
      <c r="D35" s="10">
        <v>76034</v>
      </c>
      <c r="E35" s="10" t="s">
        <v>38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3">
      <c r="A36" s="3" t="s">
        <v>68</v>
      </c>
      <c r="B36" s="4" t="s">
        <v>70</v>
      </c>
      <c r="C36" s="11">
        <v>19045</v>
      </c>
      <c r="D36" s="10">
        <v>4734</v>
      </c>
      <c r="E36" s="10" t="s">
        <v>49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3">
      <c r="A37" s="3" t="s">
        <v>68</v>
      </c>
      <c r="B37" s="4" t="s">
        <v>71</v>
      </c>
      <c r="C37" s="11">
        <v>20230</v>
      </c>
      <c r="D37" s="10">
        <v>71186</v>
      </c>
      <c r="E37" s="10" t="s">
        <v>72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3">
      <c r="A38" s="3" t="s">
        <v>68</v>
      </c>
      <c r="B38" s="4" t="s">
        <v>73</v>
      </c>
      <c r="C38" s="11">
        <v>22505</v>
      </c>
      <c r="D38" s="10">
        <v>88028</v>
      </c>
      <c r="E38" s="10" t="s">
        <v>72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3">
      <c r="A39" s="3" t="s">
        <v>68</v>
      </c>
      <c r="B39" s="4" t="s">
        <v>74</v>
      </c>
      <c r="C39" s="11">
        <v>69725</v>
      </c>
      <c r="D39" s="10">
        <v>916</v>
      </c>
      <c r="E39" s="10" t="s">
        <v>72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3">
      <c r="A40" s="3" t="s">
        <v>68</v>
      </c>
      <c r="B40" s="4" t="s">
        <v>75</v>
      </c>
      <c r="C40" s="11">
        <v>19460</v>
      </c>
      <c r="D40" s="10">
        <v>227061</v>
      </c>
      <c r="E40" s="10" t="s">
        <v>19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3">
      <c r="A41" s="3" t="s">
        <v>68</v>
      </c>
      <c r="B41" s="4" t="s">
        <v>76</v>
      </c>
      <c r="C41" s="11">
        <v>21315</v>
      </c>
      <c r="D41" s="10">
        <v>16767</v>
      </c>
      <c r="E41" s="10" t="s">
        <v>40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3">
      <c r="A42" s="3" t="s">
        <v>68</v>
      </c>
      <c r="B42" s="4" t="s">
        <v>77</v>
      </c>
      <c r="C42" s="11">
        <v>18575</v>
      </c>
      <c r="D42" s="10">
        <v>31038</v>
      </c>
      <c r="E42" s="10" t="s">
        <v>35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3">
      <c r="A43" s="3" t="s">
        <v>68</v>
      </c>
      <c r="B43" s="4" t="s">
        <v>78</v>
      </c>
      <c r="C43" s="11">
        <v>16980</v>
      </c>
      <c r="D43" s="10">
        <v>111313</v>
      </c>
      <c r="E43" s="10" t="s">
        <v>35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3">
      <c r="A44" s="3" t="s">
        <v>68</v>
      </c>
      <c r="B44" s="4" t="s">
        <v>79</v>
      </c>
      <c r="C44" s="11">
        <v>26310</v>
      </c>
      <c r="D44" s="10">
        <v>101323</v>
      </c>
      <c r="E44" s="10" t="s">
        <v>35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3">
      <c r="A45" s="3" t="s">
        <v>68</v>
      </c>
      <c r="B45" s="4" t="s">
        <v>80</v>
      </c>
      <c r="C45" s="11">
        <v>19565</v>
      </c>
      <c r="D45" s="10">
        <v>181749</v>
      </c>
      <c r="E45" s="10" t="s">
        <v>19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3">
      <c r="A46" s="3" t="s">
        <v>81</v>
      </c>
      <c r="B46" s="4" t="s">
        <v>82</v>
      </c>
      <c r="C46" s="11">
        <v>12070</v>
      </c>
      <c r="D46" s="10">
        <v>70227</v>
      </c>
      <c r="E46" s="10" t="s">
        <v>47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3">
      <c r="A47" s="3" t="s">
        <v>81</v>
      </c>
      <c r="B47" s="4" t="s">
        <v>83</v>
      </c>
      <c r="C47" s="11">
        <v>21560</v>
      </c>
      <c r="D47" s="10">
        <v>113369</v>
      </c>
      <c r="E47" s="10" t="s">
        <v>45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3">
      <c r="A48" s="3" t="s">
        <v>81</v>
      </c>
      <c r="B48" s="4" t="s">
        <v>84</v>
      </c>
      <c r="C48" s="11">
        <v>17035</v>
      </c>
      <c r="D48" s="10">
        <v>35068</v>
      </c>
      <c r="E48" s="10" t="s">
        <v>45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3">
      <c r="A49" s="3" t="s">
        <v>81</v>
      </c>
      <c r="B49" s="4" t="s">
        <v>85</v>
      </c>
      <c r="C49" s="11">
        <v>17885</v>
      </c>
      <c r="D49" s="10">
        <v>245815</v>
      </c>
      <c r="E49" s="10" t="s">
        <v>45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3">
      <c r="A50" s="3" t="s">
        <v>81</v>
      </c>
      <c r="B50" s="4" t="s">
        <v>86</v>
      </c>
      <c r="C50" s="11">
        <v>12315</v>
      </c>
      <c r="D50" s="10">
        <v>175670</v>
      </c>
      <c r="E50" s="10" t="s">
        <v>45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3">
      <c r="A51" s="3" t="s">
        <v>81</v>
      </c>
      <c r="B51" s="4" t="s">
        <v>87</v>
      </c>
      <c r="C51" s="11">
        <v>22195</v>
      </c>
      <c r="D51" s="10">
        <v>63403</v>
      </c>
      <c r="E51" s="10" t="s">
        <v>19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3">
      <c r="A52" s="3" t="s">
        <v>81</v>
      </c>
      <c r="B52" s="4" t="s">
        <v>88</v>
      </c>
      <c r="C52" s="11">
        <v>31930</v>
      </c>
      <c r="D52" s="10">
        <v>276747</v>
      </c>
      <c r="E52" s="10" t="s">
        <v>19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3">
      <c r="A53" s="3" t="s">
        <v>81</v>
      </c>
      <c r="B53" s="4" t="s">
        <v>89</v>
      </c>
      <c r="C53" s="11">
        <v>21410</v>
      </c>
      <c r="D53" s="10">
        <v>155787</v>
      </c>
      <c r="E53" s="10" t="s">
        <v>54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3">
      <c r="A54" s="3" t="s">
        <v>81</v>
      </c>
      <c r="B54" s="4" t="s">
        <v>90</v>
      </c>
      <c r="C54" s="11">
        <v>36135</v>
      </c>
      <c r="D54" s="10">
        <v>125338</v>
      </c>
      <c r="E54" s="10" t="s">
        <v>54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3">
      <c r="A55" s="3" t="s">
        <v>81</v>
      </c>
      <c r="B55" s="4" t="s">
        <v>91</v>
      </c>
      <c r="C55" s="11">
        <v>12050</v>
      </c>
      <c r="D55" s="10">
        <v>220650</v>
      </c>
      <c r="E55" s="10" t="s">
        <v>54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3">
      <c r="A56" s="3" t="s">
        <v>81</v>
      </c>
      <c r="B56" s="4" t="s">
        <v>92</v>
      </c>
      <c r="C56" s="11">
        <v>26935</v>
      </c>
      <c r="D56" s="10">
        <v>540561</v>
      </c>
      <c r="E56" s="10" t="s">
        <v>22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3">
      <c r="A57" s="3" t="s">
        <v>93</v>
      </c>
      <c r="B57" s="4" t="s">
        <v>94</v>
      </c>
      <c r="C57" s="11">
        <v>12885</v>
      </c>
      <c r="D57" s="10">
        <v>199685</v>
      </c>
      <c r="E57" s="10" t="s">
        <v>45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3">
      <c r="A58" s="3" t="s">
        <v>93</v>
      </c>
      <c r="B58" s="4" t="s">
        <v>95</v>
      </c>
      <c r="C58" s="11">
        <v>15350</v>
      </c>
      <c r="D58" s="10">
        <v>230902</v>
      </c>
      <c r="E58" s="10" t="s">
        <v>45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3">
      <c r="A59" s="3" t="s">
        <v>93</v>
      </c>
      <c r="B59" s="4" t="s">
        <v>96</v>
      </c>
      <c r="C59" s="11">
        <v>20550</v>
      </c>
      <c r="D59" s="10">
        <v>73203</v>
      </c>
      <c r="E59" s="10" t="s">
        <v>49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3">
      <c r="A60" s="3" t="s">
        <v>93</v>
      </c>
      <c r="B60" s="4" t="s">
        <v>97</v>
      </c>
      <c r="C60" s="11">
        <v>26600</v>
      </c>
      <c r="D60" s="10">
        <v>12855</v>
      </c>
      <c r="E60" s="10" t="s">
        <v>49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3">
      <c r="A61" s="3" t="s">
        <v>93</v>
      </c>
      <c r="B61" s="4" t="s">
        <v>98</v>
      </c>
      <c r="C61" s="11">
        <v>26000</v>
      </c>
      <c r="D61" s="10">
        <v>76029</v>
      </c>
      <c r="E61" s="10" t="s">
        <v>99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3">
      <c r="A62" s="3" t="s">
        <v>100</v>
      </c>
      <c r="B62" s="4" t="s">
        <v>101</v>
      </c>
      <c r="C62" s="11">
        <v>9699</v>
      </c>
      <c r="D62" s="10">
        <v>41184</v>
      </c>
      <c r="E62" s="10" t="s">
        <v>19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3">
      <c r="A63" s="3" t="s">
        <v>100</v>
      </c>
      <c r="B63" s="4" t="s">
        <v>102</v>
      </c>
      <c r="C63" s="11">
        <v>11799</v>
      </c>
      <c r="D63" s="10">
        <v>66692</v>
      </c>
      <c r="E63" s="10" t="s">
        <v>49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3">
      <c r="A64" s="3" t="s">
        <v>100</v>
      </c>
      <c r="B64" s="4" t="s">
        <v>103</v>
      </c>
      <c r="C64" s="11">
        <v>14999</v>
      </c>
      <c r="D64" s="10">
        <v>29450</v>
      </c>
      <c r="E64" s="10" t="s">
        <v>104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3">
      <c r="A65" s="3" t="s">
        <v>105</v>
      </c>
      <c r="B65" s="4" t="s">
        <v>106</v>
      </c>
      <c r="C65" s="11">
        <v>29465</v>
      </c>
      <c r="D65" s="10">
        <v>23713</v>
      </c>
      <c r="E65" s="10" t="s">
        <v>104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3">
      <c r="A66" s="3" t="s">
        <v>107</v>
      </c>
      <c r="B66" s="4" t="s">
        <v>108</v>
      </c>
      <c r="C66" s="11">
        <v>42800</v>
      </c>
      <c r="D66" s="10">
        <v>15467</v>
      </c>
      <c r="E66" s="10" t="s">
        <v>19</v>
      </c>
      <c r="F66" s="11">
        <v>33219</v>
      </c>
      <c r="G66" s="12">
        <f t="shared" ref="G66:G97" si="2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3">
      <c r="A67" s="3" t="s">
        <v>109</v>
      </c>
      <c r="B67" s="4" t="s">
        <v>110</v>
      </c>
      <c r="C67" s="11">
        <v>14460</v>
      </c>
      <c r="D67" s="10">
        <v>55557</v>
      </c>
      <c r="E67" s="10" t="s">
        <v>111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3">
      <c r="A68" s="3" t="s">
        <v>109</v>
      </c>
      <c r="B68" s="4" t="s">
        <v>112</v>
      </c>
      <c r="C68" s="11">
        <v>21620</v>
      </c>
      <c r="D68" s="10">
        <v>80556</v>
      </c>
      <c r="E68" s="10" t="s">
        <v>45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3">
      <c r="A69" s="3" t="s">
        <v>109</v>
      </c>
      <c r="B69" s="4" t="s">
        <v>113</v>
      </c>
      <c r="C69" s="11">
        <v>26895</v>
      </c>
      <c r="D69" s="10">
        <v>157040</v>
      </c>
      <c r="E69" s="10" t="s">
        <v>19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3">
      <c r="A70" s="3" t="s">
        <v>114</v>
      </c>
      <c r="B70" s="4" t="s">
        <v>115</v>
      </c>
      <c r="C70" s="11">
        <v>31505</v>
      </c>
      <c r="D70" s="10">
        <v>24072</v>
      </c>
      <c r="E70" s="10" t="s">
        <v>19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3">
      <c r="A71" s="3" t="s">
        <v>114</v>
      </c>
      <c r="B71" s="4" t="s">
        <v>116</v>
      </c>
      <c r="C71" s="11">
        <v>37805</v>
      </c>
      <c r="D71" s="10">
        <v>12698</v>
      </c>
      <c r="E71" s="10" t="s">
        <v>45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3">
      <c r="A72" s="3" t="s">
        <v>114</v>
      </c>
      <c r="B72" s="4" t="s">
        <v>117</v>
      </c>
      <c r="C72" s="11">
        <v>46305</v>
      </c>
      <c r="D72" s="10">
        <v>3334</v>
      </c>
      <c r="E72" s="10" t="s">
        <v>19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3">
      <c r="A73" s="3" t="s">
        <v>114</v>
      </c>
      <c r="B73" s="4" t="s">
        <v>118</v>
      </c>
      <c r="C73" s="11">
        <v>54005</v>
      </c>
      <c r="D73" s="10">
        <v>6375</v>
      </c>
      <c r="E73" s="10" t="s">
        <v>19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3">
      <c r="A74" s="3" t="s">
        <v>114</v>
      </c>
      <c r="B74" s="4" t="s">
        <v>119</v>
      </c>
      <c r="C74" s="11">
        <v>60105</v>
      </c>
      <c r="D74" s="10">
        <v>9126</v>
      </c>
      <c r="E74" s="10" t="s">
        <v>47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3">
      <c r="A75" s="3" t="s">
        <v>114</v>
      </c>
      <c r="B75" s="4" t="s">
        <v>120</v>
      </c>
      <c r="C75" s="11">
        <v>34605</v>
      </c>
      <c r="D75" s="10">
        <v>51238</v>
      </c>
      <c r="E75" s="10" t="s">
        <v>45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3">
      <c r="A76" s="3" t="s">
        <v>121</v>
      </c>
      <c r="B76" s="4" t="s">
        <v>122</v>
      </c>
      <c r="C76" s="11">
        <v>39080</v>
      </c>
      <c r="D76" s="10">
        <v>13798</v>
      </c>
      <c r="E76" s="10" t="s">
        <v>19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3">
      <c r="A77" s="3" t="s">
        <v>121</v>
      </c>
      <c r="B77" s="4" t="s">
        <v>123</v>
      </c>
      <c r="C77" s="11">
        <v>43330</v>
      </c>
      <c r="D77" s="10">
        <v>48911</v>
      </c>
      <c r="E77" s="10" t="s">
        <v>19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3">
      <c r="A78" s="3" t="s">
        <v>121</v>
      </c>
      <c r="B78" s="4" t="s">
        <v>124</v>
      </c>
      <c r="C78" s="11">
        <v>42660</v>
      </c>
      <c r="D78" s="10">
        <v>22925</v>
      </c>
      <c r="E78" s="10" t="s">
        <v>19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3">
      <c r="A79" s="3" t="s">
        <v>125</v>
      </c>
      <c r="B79" s="4" t="s">
        <v>126</v>
      </c>
      <c r="C79" s="11">
        <v>13987</v>
      </c>
      <c r="D79" s="10">
        <v>26232</v>
      </c>
      <c r="E79" s="10" t="s">
        <v>49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3">
      <c r="A80" s="3" t="s">
        <v>125</v>
      </c>
      <c r="B80" s="4" t="s">
        <v>127</v>
      </c>
      <c r="C80" s="11">
        <v>19047</v>
      </c>
      <c r="D80" s="10">
        <v>42541</v>
      </c>
      <c r="E80" s="10" t="s">
        <v>19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3">
      <c r="A81" s="3" t="s">
        <v>125</v>
      </c>
      <c r="B81" s="4" t="s">
        <v>128</v>
      </c>
      <c r="C81" s="11">
        <v>17357</v>
      </c>
      <c r="D81" s="10">
        <v>55616</v>
      </c>
      <c r="E81" s="10" t="s">
        <v>19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3">
      <c r="A82" s="3" t="s">
        <v>125</v>
      </c>
      <c r="B82" s="4" t="s">
        <v>129</v>
      </c>
      <c r="C82" s="11">
        <v>24997</v>
      </c>
      <c r="D82" s="10">
        <v>5711</v>
      </c>
      <c r="E82" s="10" t="s">
        <v>19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3">
      <c r="A83" s="3" t="s">
        <v>125</v>
      </c>
      <c r="B83" s="4" t="s">
        <v>130</v>
      </c>
      <c r="C83" s="11">
        <v>25450</v>
      </c>
      <c r="D83" s="10">
        <v>110</v>
      </c>
      <c r="E83" s="10" t="s">
        <v>19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3">
      <c r="A84" s="3" t="s">
        <v>125</v>
      </c>
      <c r="B84" s="4" t="s">
        <v>131</v>
      </c>
      <c r="C84" s="11">
        <v>31807</v>
      </c>
      <c r="D84" s="10">
        <v>11337</v>
      </c>
      <c r="E84" s="10" t="s">
        <v>19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3">
      <c r="A85" s="3" t="s">
        <v>125</v>
      </c>
      <c r="B85" s="4" t="s">
        <v>132</v>
      </c>
      <c r="C85" s="11">
        <v>22527</v>
      </c>
      <c r="D85" s="10">
        <v>39348</v>
      </c>
      <c r="E85" s="10" t="s">
        <v>26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3">
      <c r="A86" s="3" t="s">
        <v>133</v>
      </c>
      <c r="B86" s="4" t="s">
        <v>134</v>
      </c>
      <c r="C86" s="11">
        <v>16239.999999999998</v>
      </c>
      <c r="D86" s="10">
        <v>14351</v>
      </c>
      <c r="E86" s="10" t="s">
        <v>111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3">
      <c r="A87" s="3" t="s">
        <v>133</v>
      </c>
      <c r="B87" s="4" t="s">
        <v>135</v>
      </c>
      <c r="C87" s="11">
        <v>16540</v>
      </c>
      <c r="D87" s="10">
        <v>26529</v>
      </c>
      <c r="E87" s="10" t="s">
        <v>111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3">
      <c r="A88" s="3" t="s">
        <v>133</v>
      </c>
      <c r="B88" s="4" t="s">
        <v>136</v>
      </c>
      <c r="C88" s="11">
        <v>19035</v>
      </c>
      <c r="D88" s="10">
        <v>67956</v>
      </c>
      <c r="E88" s="10" t="s">
        <v>49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3">
      <c r="A89" s="3" t="s">
        <v>133</v>
      </c>
      <c r="B89" s="4" t="s">
        <v>137</v>
      </c>
      <c r="C89" s="11">
        <v>22605</v>
      </c>
      <c r="D89" s="10">
        <v>81174</v>
      </c>
      <c r="E89" s="10" t="s">
        <v>19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3">
      <c r="A90" s="3" t="s">
        <v>133</v>
      </c>
      <c r="B90" s="4" t="s">
        <v>138</v>
      </c>
      <c r="C90" s="11">
        <v>27560</v>
      </c>
      <c r="D90" s="10">
        <v>27609</v>
      </c>
      <c r="E90" s="10" t="s">
        <v>47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3">
      <c r="A91" s="3" t="s">
        <v>133</v>
      </c>
      <c r="B91" s="4" t="s">
        <v>139</v>
      </c>
      <c r="C91" s="11">
        <v>22510</v>
      </c>
      <c r="D91" s="10">
        <v>20380</v>
      </c>
      <c r="E91" s="10" t="s">
        <v>47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3">
      <c r="A92" s="3" t="s">
        <v>140</v>
      </c>
      <c r="B92" s="4" t="s">
        <v>141</v>
      </c>
      <c r="C92" s="11">
        <v>31750</v>
      </c>
      <c r="D92" s="10">
        <v>18392</v>
      </c>
      <c r="E92" s="10" t="s">
        <v>19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3">
      <c r="A93" s="3" t="s">
        <v>140</v>
      </c>
      <c r="B93" s="4" t="s">
        <v>142</v>
      </c>
      <c r="C93" s="11">
        <v>49900</v>
      </c>
      <c r="D93" s="10">
        <v>27602</v>
      </c>
      <c r="E93" s="10" t="s">
        <v>45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3">
      <c r="A94" s="3" t="s">
        <v>140</v>
      </c>
      <c r="B94" s="4" t="s">
        <v>143</v>
      </c>
      <c r="C94" s="11">
        <v>69700</v>
      </c>
      <c r="D94" s="10">
        <v>16774</v>
      </c>
      <c r="E94" s="10" t="s">
        <v>30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3">
      <c r="A95" s="3" t="s">
        <v>140</v>
      </c>
      <c r="B95" s="4" t="s">
        <v>144</v>
      </c>
      <c r="C95" s="11">
        <v>82600</v>
      </c>
      <c r="D95" s="10">
        <v>3311</v>
      </c>
      <c r="E95" s="10" t="s">
        <v>30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3">
      <c r="A96" s="3" t="s">
        <v>140</v>
      </c>
      <c r="B96" s="4" t="s">
        <v>145</v>
      </c>
      <c r="C96" s="11">
        <v>38900</v>
      </c>
      <c r="D96" s="10">
        <v>7998</v>
      </c>
      <c r="E96" s="10" t="s">
        <v>104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3">
      <c r="A97" s="3" t="s">
        <v>140</v>
      </c>
      <c r="B97" s="4" t="s">
        <v>146</v>
      </c>
      <c r="C97" s="11">
        <v>41000</v>
      </c>
      <c r="D97" s="10">
        <v>1526</v>
      </c>
      <c r="E97" s="10" t="s">
        <v>22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3">
      <c r="A98" s="3" t="s">
        <v>140</v>
      </c>
      <c r="B98" s="4" t="s">
        <v>147</v>
      </c>
      <c r="C98" s="11">
        <v>41600</v>
      </c>
      <c r="D98" s="10">
        <v>11592</v>
      </c>
      <c r="E98" s="10" t="s">
        <v>19</v>
      </c>
      <c r="F98" s="11">
        <v>29200</v>
      </c>
      <c r="G98" s="12">
        <f t="shared" ref="G98:G129" si="3">SUM(F98/C98)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3">
      <c r="A99" s="3" t="s">
        <v>140</v>
      </c>
      <c r="B99" s="4" t="s">
        <v>148</v>
      </c>
      <c r="C99" s="11">
        <v>85500</v>
      </c>
      <c r="D99" s="10">
        <v>954</v>
      </c>
      <c r="E99" s="10" t="s">
        <v>35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3">
      <c r="A100" s="3" t="s">
        <v>140</v>
      </c>
      <c r="B100" s="4" t="s">
        <v>149</v>
      </c>
      <c r="C100" s="11">
        <v>35300</v>
      </c>
      <c r="D100" s="10">
        <v>28976</v>
      </c>
      <c r="E100" s="10" t="s">
        <v>19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3">
      <c r="A101" s="3" t="s">
        <v>150</v>
      </c>
      <c r="B101" s="4" t="s">
        <v>151</v>
      </c>
      <c r="C101" s="11">
        <v>13499</v>
      </c>
      <c r="D101" s="10">
        <v>42643</v>
      </c>
      <c r="E101" s="10" t="s">
        <v>152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3">
      <c r="A102" s="3" t="s">
        <v>150</v>
      </c>
      <c r="B102" s="4" t="s">
        <v>153</v>
      </c>
      <c r="C102" s="11">
        <v>20390</v>
      </c>
      <c r="D102" s="10">
        <v>88094</v>
      </c>
      <c r="E102" s="10" t="s">
        <v>72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3">
      <c r="A103" s="3" t="s">
        <v>150</v>
      </c>
      <c r="B103" s="4" t="s">
        <v>154</v>
      </c>
      <c r="C103" s="11">
        <v>26249</v>
      </c>
      <c r="D103" s="10">
        <v>79853</v>
      </c>
      <c r="E103" s="10" t="s">
        <v>45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3">
      <c r="A104" s="3" t="s">
        <v>150</v>
      </c>
      <c r="B104" s="4" t="s">
        <v>155</v>
      </c>
      <c r="C104" s="11">
        <v>26399</v>
      </c>
      <c r="D104" s="10">
        <v>27308</v>
      </c>
      <c r="E104" s="10" t="s">
        <v>19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3">
      <c r="A105" s="3" t="s">
        <v>150</v>
      </c>
      <c r="B105" s="4" t="s">
        <v>156</v>
      </c>
      <c r="C105" s="11">
        <v>29299</v>
      </c>
      <c r="D105" s="10">
        <v>42574</v>
      </c>
      <c r="E105" s="10" t="s">
        <v>22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3">
      <c r="A106" s="3" t="s">
        <v>150</v>
      </c>
      <c r="B106" s="4" t="s">
        <v>157</v>
      </c>
      <c r="C106" s="11">
        <v>22799</v>
      </c>
      <c r="D106" s="10">
        <v>54158</v>
      </c>
      <c r="E106" s="10" t="s">
        <v>19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3">
      <c r="A107" s="3" t="s">
        <v>150</v>
      </c>
      <c r="B107" s="4" t="s">
        <v>158</v>
      </c>
      <c r="C107" s="11">
        <v>17890</v>
      </c>
      <c r="D107" s="10">
        <v>65004.999999999993</v>
      </c>
      <c r="E107" s="10" t="s">
        <v>54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3">
      <c r="A108" s="3" t="s">
        <v>159</v>
      </c>
      <c r="B108" s="4" t="s">
        <v>160</v>
      </c>
      <c r="C108" s="11">
        <v>18145</v>
      </c>
      <c r="D108" s="10">
        <v>1112</v>
      </c>
      <c r="E108" s="10" t="s">
        <v>19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3">
      <c r="A109" s="3" t="s">
        <v>159</v>
      </c>
      <c r="B109" s="4" t="s">
        <v>161</v>
      </c>
      <c r="C109" s="11">
        <v>24150</v>
      </c>
      <c r="D109" s="10">
        <v>38554</v>
      </c>
      <c r="E109" s="10" t="s">
        <v>22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3">
      <c r="A110" s="3" t="s">
        <v>159</v>
      </c>
      <c r="B110" s="4" t="s">
        <v>162</v>
      </c>
      <c r="C110" s="11">
        <v>18270</v>
      </c>
      <c r="D110" s="10">
        <v>80255</v>
      </c>
      <c r="E110" s="10" t="s">
        <v>54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3">
      <c r="A111" s="3" t="s">
        <v>159</v>
      </c>
      <c r="B111" s="4" t="s">
        <v>163</v>
      </c>
      <c r="C111" s="11">
        <v>36229</v>
      </c>
      <c r="D111" s="10">
        <v>14690</v>
      </c>
      <c r="E111" s="10" t="s">
        <v>19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3">
      <c r="A112" s="3" t="s">
        <v>159</v>
      </c>
      <c r="B112" s="4" t="s">
        <v>164</v>
      </c>
      <c r="C112" s="11">
        <v>31598</v>
      </c>
      <c r="D112" s="10">
        <v>20017</v>
      </c>
      <c r="E112" s="10" t="s">
        <v>47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3">
      <c r="A113" s="3" t="s">
        <v>159</v>
      </c>
      <c r="B113" s="4" t="s">
        <v>165</v>
      </c>
      <c r="C113" s="11">
        <v>25345</v>
      </c>
      <c r="D113" s="10">
        <v>24361</v>
      </c>
      <c r="E113" s="10" t="s">
        <v>19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3">
      <c r="A114" s="3" t="s">
        <v>166</v>
      </c>
      <c r="B114" s="4" t="s">
        <v>69</v>
      </c>
      <c r="C114" s="11">
        <v>12640</v>
      </c>
      <c r="D114" s="10">
        <v>32734</v>
      </c>
      <c r="E114" s="10" t="s">
        <v>45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3">
      <c r="A115" s="3" t="s">
        <v>166</v>
      </c>
      <c r="B115" s="4" t="s">
        <v>167</v>
      </c>
      <c r="C115" s="11">
        <v>16079.999999999998</v>
      </c>
      <c r="D115" s="10">
        <v>5240</v>
      </c>
      <c r="E115" s="10" t="s">
        <v>19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3">
      <c r="A116" s="3" t="s">
        <v>166</v>
      </c>
      <c r="B116" s="4" t="s">
        <v>168</v>
      </c>
      <c r="C116" s="11">
        <v>18850</v>
      </c>
      <c r="D116" s="10">
        <v>24155</v>
      </c>
      <c r="E116" s="10" t="s">
        <v>45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3">
      <c r="A117" s="3" t="s">
        <v>166</v>
      </c>
      <c r="B117" s="4" t="s">
        <v>169</v>
      </c>
      <c r="C117" s="11">
        <v>43000</v>
      </c>
      <c r="D117" s="10">
        <v>1872</v>
      </c>
      <c r="E117" s="10" t="s">
        <v>19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3">
      <c r="A118" s="3" t="s">
        <v>170</v>
      </c>
      <c r="B118" s="4" t="s">
        <v>171</v>
      </c>
      <c r="C118" s="11">
        <v>21610</v>
      </c>
      <c r="D118" s="10">
        <v>51645</v>
      </c>
      <c r="E118" s="10" t="s">
        <v>19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3">
      <c r="A119" s="3" t="s">
        <v>170</v>
      </c>
      <c r="B119" s="4" t="s">
        <v>172</v>
      </c>
      <c r="C119" s="11">
        <v>19720</v>
      </c>
      <c r="D119" s="10">
        <v>131097</v>
      </c>
      <c r="E119" s="10" t="s">
        <v>19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3">
      <c r="A120" s="3" t="s">
        <v>170</v>
      </c>
      <c r="B120" s="4" t="s">
        <v>173</v>
      </c>
      <c r="C120" s="11">
        <v>25310</v>
      </c>
      <c r="D120" s="10">
        <v>19911</v>
      </c>
      <c r="E120" s="10" t="s">
        <v>49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3">
      <c r="A121" s="3" t="s">
        <v>170</v>
      </c>
      <c r="B121" s="4" t="s">
        <v>174</v>
      </c>
      <c r="C121" s="11">
        <v>21665</v>
      </c>
      <c r="D121" s="10">
        <v>92364</v>
      </c>
      <c r="E121" s="10" t="s">
        <v>19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3">
      <c r="A122" s="3" t="s">
        <v>170</v>
      </c>
      <c r="B122" s="4" t="s">
        <v>175</v>
      </c>
      <c r="C122" s="11">
        <v>23755</v>
      </c>
      <c r="D122" s="10">
        <v>35945</v>
      </c>
      <c r="E122" s="10" t="s">
        <v>19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3">
      <c r="A123" s="3" t="s">
        <v>170</v>
      </c>
      <c r="B123" s="4" t="s">
        <v>176</v>
      </c>
      <c r="C123" s="11">
        <v>25635</v>
      </c>
      <c r="D123" s="10">
        <v>39572</v>
      </c>
      <c r="E123" s="10" t="s">
        <v>19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hidden="1" x14ac:dyDescent="0.3">
      <c r="A124" s="3" t="s">
        <v>177</v>
      </c>
      <c r="B124" s="4" t="s">
        <v>178</v>
      </c>
      <c r="C124" s="11">
        <v>41430</v>
      </c>
      <c r="D124" s="10">
        <v>8982</v>
      </c>
      <c r="E124" s="10" t="s">
        <v>19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hidden="1" x14ac:dyDescent="0.3">
      <c r="A125" s="3" t="s">
        <v>177</v>
      </c>
      <c r="B125" s="4" t="s">
        <v>179</v>
      </c>
      <c r="C125" s="11">
        <v>71020</v>
      </c>
      <c r="D125" s="10">
        <v>1280</v>
      </c>
      <c r="E125" s="10" t="s">
        <v>19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hidden="1" x14ac:dyDescent="0.3">
      <c r="A126" s="3" t="s">
        <v>177</v>
      </c>
      <c r="B126" s="4" t="s">
        <v>180</v>
      </c>
      <c r="C126" s="11">
        <v>74970</v>
      </c>
      <c r="D126" s="10">
        <v>1866</v>
      </c>
      <c r="E126" s="10" t="s">
        <v>26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3">
      <c r="A127" s="3" t="s">
        <v>181</v>
      </c>
      <c r="B127" s="7" t="s">
        <v>182</v>
      </c>
      <c r="C127" s="11">
        <v>33120</v>
      </c>
      <c r="D127" s="10">
        <v>9191</v>
      </c>
      <c r="E127" s="10" t="s">
        <v>111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3">
      <c r="A128" s="3" t="s">
        <v>181</v>
      </c>
      <c r="B128" s="7" t="s">
        <v>183</v>
      </c>
      <c r="C128" s="11">
        <v>26100</v>
      </c>
      <c r="D128" s="10">
        <v>12115</v>
      </c>
      <c r="E128" s="10" t="s">
        <v>111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3">
      <c r="A129" s="3" t="s">
        <v>184</v>
      </c>
      <c r="B129" s="4" t="s">
        <v>185</v>
      </c>
      <c r="C129" s="11">
        <v>10685</v>
      </c>
      <c r="D129" s="10">
        <v>80620</v>
      </c>
      <c r="E129" s="10" t="s">
        <v>49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3">
      <c r="A130" s="3" t="s">
        <v>184</v>
      </c>
      <c r="B130" s="4" t="s">
        <v>186</v>
      </c>
      <c r="C130" s="11">
        <v>12535</v>
      </c>
      <c r="D130" s="10">
        <v>24546</v>
      </c>
      <c r="E130" s="10" t="s">
        <v>19</v>
      </c>
      <c r="F130" s="11">
        <v>10590</v>
      </c>
      <c r="G130" s="12">
        <f t="shared" ref="G130:G156" si="4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3">
      <c r="A131" s="3" t="s">
        <v>184</v>
      </c>
      <c r="B131" s="4" t="s">
        <v>187</v>
      </c>
      <c r="C131" s="11">
        <v>14290</v>
      </c>
      <c r="D131" s="10">
        <v>5223</v>
      </c>
      <c r="E131" s="10" t="s">
        <v>47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3">
      <c r="A132" s="3" t="s">
        <v>184</v>
      </c>
      <c r="B132" s="4" t="s">
        <v>188</v>
      </c>
      <c r="C132" s="11">
        <v>18835</v>
      </c>
      <c r="D132" s="10">
        <v>8472</v>
      </c>
      <c r="E132" s="10" t="s">
        <v>47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3">
      <c r="A133" s="3" t="s">
        <v>184</v>
      </c>
      <c r="B133" s="4" t="s">
        <v>189</v>
      </c>
      <c r="C133" s="11">
        <v>15010</v>
      </c>
      <c r="D133" s="10">
        <v>49989</v>
      </c>
      <c r="E133" s="10" t="s">
        <v>19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3">
      <c r="A134" s="3" t="s">
        <v>190</v>
      </c>
      <c r="B134" s="4" t="s">
        <v>191</v>
      </c>
      <c r="C134" s="11">
        <v>22695</v>
      </c>
      <c r="D134" s="10">
        <v>47107</v>
      </c>
      <c r="E134" s="10" t="s">
        <v>45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3">
      <c r="A135" s="3" t="s">
        <v>190</v>
      </c>
      <c r="B135" s="4" t="s">
        <v>192</v>
      </c>
      <c r="C135" s="11">
        <v>20095</v>
      </c>
      <c r="D135" s="10">
        <v>33028</v>
      </c>
      <c r="E135" s="10" t="s">
        <v>30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3">
      <c r="A136" s="3" t="s">
        <v>193</v>
      </c>
      <c r="B136" s="4" t="s">
        <v>194</v>
      </c>
      <c r="C136" s="11">
        <v>13108</v>
      </c>
      <c r="D136" s="10">
        <v>142535</v>
      </c>
      <c r="E136" s="10" t="s">
        <v>30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3">
      <c r="A137" s="3" t="s">
        <v>193</v>
      </c>
      <c r="B137" s="4" t="s">
        <v>195</v>
      </c>
      <c r="C137" s="11">
        <v>17518</v>
      </c>
      <c r="D137" s="10">
        <v>247994</v>
      </c>
      <c r="E137" s="10" t="s">
        <v>104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3">
      <c r="A138" s="3" t="s">
        <v>193</v>
      </c>
      <c r="B138" s="4" t="s">
        <v>196</v>
      </c>
      <c r="C138" s="11">
        <v>25545</v>
      </c>
      <c r="D138" s="10">
        <v>63849</v>
      </c>
      <c r="E138" s="10" t="s">
        <v>22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3">
      <c r="A139" s="3" t="s">
        <v>193</v>
      </c>
      <c r="B139" s="4" t="s">
        <v>197</v>
      </c>
      <c r="C139" s="11">
        <v>16875</v>
      </c>
      <c r="D139" s="10">
        <v>33269</v>
      </c>
      <c r="E139" s="10" t="s">
        <v>19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3">
      <c r="A140" s="3" t="s">
        <v>193</v>
      </c>
      <c r="B140" s="4" t="s">
        <v>198</v>
      </c>
      <c r="C140" s="11">
        <v>11528</v>
      </c>
      <c r="D140" s="10">
        <v>84087</v>
      </c>
      <c r="E140" s="10" t="s">
        <v>35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3">
      <c r="A141" s="3" t="s">
        <v>193</v>
      </c>
      <c r="B141" s="4" t="s">
        <v>199</v>
      </c>
      <c r="C141" s="11">
        <v>22368</v>
      </c>
      <c r="D141" s="10">
        <v>65119</v>
      </c>
      <c r="E141" s="10" t="s">
        <v>19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3">
      <c r="A142" s="3" t="s">
        <v>193</v>
      </c>
      <c r="B142" s="4" t="s">
        <v>200</v>
      </c>
      <c r="C142" s="11">
        <v>16888</v>
      </c>
      <c r="D142" s="10">
        <v>25106</v>
      </c>
      <c r="E142" s="10" t="s">
        <v>152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3">
      <c r="A143" s="3" t="s">
        <v>193</v>
      </c>
      <c r="B143" s="4" t="s">
        <v>201</v>
      </c>
      <c r="C143" s="11">
        <v>22288</v>
      </c>
      <c r="D143" s="10">
        <v>68411</v>
      </c>
      <c r="E143" s="10" t="s">
        <v>72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3">
      <c r="A144" s="3" t="s">
        <v>193</v>
      </c>
      <c r="B144" s="4" t="s">
        <v>202</v>
      </c>
      <c r="C144" s="11">
        <v>51728</v>
      </c>
      <c r="D144" s="10">
        <v>9835</v>
      </c>
      <c r="E144" s="10" t="s">
        <v>45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3">
      <c r="A145" s="3" t="s">
        <v>203</v>
      </c>
      <c r="B145" s="4" t="s">
        <v>204</v>
      </c>
      <c r="C145" s="11">
        <v>14900</v>
      </c>
      <c r="D145" s="10">
        <v>9761</v>
      </c>
      <c r="E145" s="10" t="s">
        <v>19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3">
      <c r="A146" s="3" t="s">
        <v>203</v>
      </c>
      <c r="B146" s="4" t="s">
        <v>205</v>
      </c>
      <c r="C146" s="11">
        <v>16700</v>
      </c>
      <c r="D146" s="10">
        <v>83721</v>
      </c>
      <c r="E146" s="10" t="s">
        <v>22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3">
      <c r="A147" s="3" t="s">
        <v>203</v>
      </c>
      <c r="B147" s="4" t="s">
        <v>206</v>
      </c>
      <c r="C147" s="11">
        <v>21200</v>
      </c>
      <c r="D147" s="10">
        <v>51102</v>
      </c>
      <c r="E147" s="10" t="s">
        <v>19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3">
      <c r="A148" s="3" t="s">
        <v>203</v>
      </c>
      <c r="B148" s="4" t="s">
        <v>207</v>
      </c>
      <c r="C148" s="11">
        <v>19990</v>
      </c>
      <c r="D148" s="10">
        <v>9569</v>
      </c>
      <c r="E148" s="10" t="s">
        <v>54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3">
      <c r="A149" s="3" t="s">
        <v>203</v>
      </c>
      <c r="B149" s="4" t="s">
        <v>208</v>
      </c>
      <c r="C149" s="11">
        <v>17500</v>
      </c>
      <c r="D149" s="10">
        <v>5596</v>
      </c>
      <c r="E149" s="10" t="s">
        <v>19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3">
      <c r="A150" s="3" t="s">
        <v>203</v>
      </c>
      <c r="B150" s="4" t="s">
        <v>209</v>
      </c>
      <c r="C150" s="11">
        <v>15900</v>
      </c>
      <c r="D150" s="10">
        <v>49463</v>
      </c>
      <c r="E150" s="10" t="s">
        <v>22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3">
      <c r="A151" s="3" t="s">
        <v>210</v>
      </c>
      <c r="B151" s="4" t="s">
        <v>211</v>
      </c>
      <c r="C151" s="11">
        <v>23400</v>
      </c>
      <c r="D151" s="10">
        <v>16957</v>
      </c>
      <c r="E151" s="10" t="s">
        <v>54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3">
      <c r="A152" s="3" t="s">
        <v>210</v>
      </c>
      <c r="B152" s="4" t="s">
        <v>212</v>
      </c>
      <c r="C152" s="11">
        <v>24400</v>
      </c>
      <c r="D152" s="10">
        <v>3545</v>
      </c>
      <c r="E152" s="10" t="s">
        <v>19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3">
      <c r="A153" s="3" t="s">
        <v>210</v>
      </c>
      <c r="B153" s="4" t="s">
        <v>213</v>
      </c>
      <c r="C153" s="11">
        <v>27500</v>
      </c>
      <c r="D153" s="10">
        <v>15245</v>
      </c>
      <c r="E153" s="10" t="s">
        <v>47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3">
      <c r="A154" s="3" t="s">
        <v>210</v>
      </c>
      <c r="B154" s="4" t="s">
        <v>214</v>
      </c>
      <c r="C154" s="11">
        <v>28800</v>
      </c>
      <c r="D154" s="10">
        <v>17531</v>
      </c>
      <c r="E154" s="10" t="s">
        <v>19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3">
      <c r="A155" s="3" t="s">
        <v>210</v>
      </c>
      <c r="B155" s="4" t="s">
        <v>215</v>
      </c>
      <c r="C155" s="11">
        <v>45500</v>
      </c>
      <c r="D155" s="10">
        <v>3493</v>
      </c>
      <c r="E155" s="10" t="s">
        <v>45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3">
      <c r="A156" s="3" t="s">
        <v>210</v>
      </c>
      <c r="B156" s="4" t="s">
        <v>216</v>
      </c>
      <c r="C156" s="11">
        <v>36000</v>
      </c>
      <c r="D156" s="10">
        <v>18969</v>
      </c>
      <c r="E156" s="10" t="s">
        <v>19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9F1-679E-4BE2-90A6-CA9AF04725FA}">
  <dimension ref="A1:X156"/>
  <sheetViews>
    <sheetView topLeftCell="A100" zoomScaleNormal="100" workbookViewId="0">
      <selection activeCell="F176" sqref="F176"/>
    </sheetView>
  </sheetViews>
  <sheetFormatPr defaultColWidth="8.77734375" defaultRowHeight="14.4" x14ac:dyDescent="0.3"/>
  <cols>
    <col min="1" max="1" width="15.44140625" customWidth="1"/>
    <col min="2" max="2" width="15.44140625" bestFit="1" customWidth="1"/>
    <col min="3" max="3" width="20.44140625" bestFit="1" customWidth="1"/>
    <col min="4" max="4" width="18.77734375" customWidth="1"/>
    <col min="5" max="5" width="12.6640625" style="9" customWidth="1"/>
    <col min="6" max="6" width="19.44140625" bestFit="1" customWidth="1"/>
    <col min="7" max="7" width="14" customWidth="1"/>
    <col min="8" max="8" width="13.109375" customWidth="1"/>
    <col min="9" max="9" width="14" customWidth="1"/>
    <col min="10" max="10" width="11" hidden="1" customWidth="1"/>
    <col min="11" max="11" width="6.44140625" hidden="1" customWidth="1"/>
    <col min="12" max="12" width="7" hidden="1" customWidth="1"/>
    <col min="13" max="13" width="12.33203125" hidden="1" customWidth="1"/>
    <col min="14" max="14" width="13.109375" hidden="1" customWidth="1"/>
    <col min="15" max="15" width="14.6640625" hidden="1" customWidth="1"/>
    <col min="16" max="16" width="13.44140625" hidden="1" customWidth="1"/>
    <col min="17" max="17" width="17.77734375" hidden="1" customWidth="1"/>
    <col min="19" max="19" width="11.44140625" bestFit="1" customWidth="1"/>
    <col min="21" max="21" width="11.33203125" bestFit="1" customWidth="1"/>
    <col min="22" max="22" width="7.44140625" bestFit="1" customWidth="1"/>
    <col min="23" max="23" width="11.44140625" bestFit="1" customWidth="1"/>
    <col min="24" max="24" width="7.77734375" bestFit="1" customWidth="1"/>
    <col min="25" max="25" width="16.44140625" bestFit="1" customWidth="1"/>
  </cols>
  <sheetData>
    <row r="1" spans="1:21" s="1" customFormat="1" x14ac:dyDescent="0.3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3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3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3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3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3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3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hidden="1" x14ac:dyDescent="0.3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hidden="1" x14ac:dyDescent="0.3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hidden="1" x14ac:dyDescent="0.3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3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3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3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3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3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3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3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3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3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3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3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hidden="1" x14ac:dyDescent="0.3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3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3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3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3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3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3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3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3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3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3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3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3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65" si="1">SUM(F34/E34)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3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3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3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3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3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3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3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3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3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3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3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3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3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3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3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3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3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3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3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3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3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3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3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3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3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3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3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3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3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3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3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3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97" si="2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3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3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3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3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3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3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3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3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3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3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3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3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3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3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3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3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3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3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3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3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3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3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3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3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3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3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3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3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3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3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3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3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29" si="3">SUM(F98/E98)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3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3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3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3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3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3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3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3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3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3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3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3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3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3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3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3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3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3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3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3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3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3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3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3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3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3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3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3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3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3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3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3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3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3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3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3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3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3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3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3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3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3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3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3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3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3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3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3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3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3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3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3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3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3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3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3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3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3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zoomScaleNormal="100" workbookViewId="0">
      <selection activeCell="B1" sqref="B1:C1048576"/>
    </sheetView>
  </sheetViews>
  <sheetFormatPr defaultColWidth="8.77734375" defaultRowHeight="14.4" x14ac:dyDescent="0.3"/>
  <cols>
    <col min="1" max="1" width="15.44140625" customWidth="1"/>
    <col min="2" max="2" width="15.44140625" bestFit="1" customWidth="1"/>
    <col min="3" max="3" width="20.44140625" bestFit="1" customWidth="1"/>
    <col min="4" max="4" width="18.77734375" customWidth="1"/>
    <col min="5" max="5" width="12.6640625" style="9" customWidth="1"/>
    <col min="6" max="6" width="19.44140625" bestFit="1" customWidth="1"/>
    <col min="7" max="7" width="14" customWidth="1"/>
    <col min="8" max="8" width="17.44140625" customWidth="1"/>
    <col min="9" max="9" width="13.109375" customWidth="1"/>
    <col min="10" max="10" width="14" customWidth="1"/>
    <col min="11" max="11" width="11.77734375" customWidth="1"/>
    <col min="12" max="12" width="11" hidden="1" customWidth="1"/>
    <col min="13" max="13" width="6.44140625" hidden="1" customWidth="1"/>
    <col min="14" max="14" width="7" hidden="1" customWidth="1"/>
    <col min="15" max="15" width="12.33203125" hidden="1" customWidth="1"/>
    <col min="16" max="16" width="13.109375" hidden="1" customWidth="1"/>
    <col min="17" max="17" width="14.6640625" hidden="1" customWidth="1"/>
    <col min="18" max="18" width="13.44140625" hidden="1" customWidth="1"/>
    <col min="19" max="19" width="17.77734375" hidden="1" customWidth="1"/>
    <col min="20" max="20" width="14.77734375" customWidth="1"/>
    <col min="22" max="22" width="11.44140625" bestFit="1" customWidth="1"/>
    <col min="24" max="24" width="11.33203125" bestFit="1" customWidth="1"/>
    <col min="25" max="25" width="7.44140625" bestFit="1" customWidth="1"/>
    <col min="26" max="26" width="11.44140625" bestFit="1" customWidth="1"/>
    <col min="27" max="27" width="7.77734375" bestFit="1" customWidth="1"/>
    <col min="28" max="28" width="16.44140625" bestFit="1" customWidth="1"/>
  </cols>
  <sheetData>
    <row r="1" spans="1:24" s="1" customFormat="1" x14ac:dyDescent="0.3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hidden="1" x14ac:dyDescent="0.3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hidden="1" x14ac:dyDescent="0.3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hidden="1" x14ac:dyDescent="0.3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hidden="1" x14ac:dyDescent="0.3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hidden="1" x14ac:dyDescent="0.3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hidden="1" x14ac:dyDescent="0.3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hidden="1" x14ac:dyDescent="0.3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hidden="1" x14ac:dyDescent="0.3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hidden="1" x14ac:dyDescent="0.3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hidden="1" x14ac:dyDescent="0.3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hidden="1" x14ac:dyDescent="0.3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hidden="1" x14ac:dyDescent="0.3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hidden="1" x14ac:dyDescent="0.3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hidden="1" x14ac:dyDescent="0.3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hidden="1" x14ac:dyDescent="0.3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hidden="1" x14ac:dyDescent="0.3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hidden="1" x14ac:dyDescent="0.3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hidden="1" x14ac:dyDescent="0.3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hidden="1" x14ac:dyDescent="0.3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hidden="1" x14ac:dyDescent="0.3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</row>
    <row r="22" spans="1:27" hidden="1" x14ac:dyDescent="0.3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hidden="1" x14ac:dyDescent="0.3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hidden="1" x14ac:dyDescent="0.3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hidden="1" x14ac:dyDescent="0.3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hidden="1" x14ac:dyDescent="0.3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hidden="1" x14ac:dyDescent="0.3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hidden="1" x14ac:dyDescent="0.3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hidden="1" x14ac:dyDescent="0.3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hidden="1" x14ac:dyDescent="0.3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hidden="1" x14ac:dyDescent="0.3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hidden="1" x14ac:dyDescent="0.3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hidden="1" x14ac:dyDescent="0.3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hidden="1" x14ac:dyDescent="0.3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hidden="1" x14ac:dyDescent="0.3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hidden="1" x14ac:dyDescent="0.3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hidden="1" x14ac:dyDescent="0.3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hidden="1" x14ac:dyDescent="0.3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hidden="1" x14ac:dyDescent="0.3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hidden="1" x14ac:dyDescent="0.3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hidden="1" x14ac:dyDescent="0.3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hidden="1" x14ac:dyDescent="0.3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hidden="1" x14ac:dyDescent="0.3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hidden="1" x14ac:dyDescent="0.3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hidden="1" x14ac:dyDescent="0.3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hidden="1" x14ac:dyDescent="0.3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hidden="1" x14ac:dyDescent="0.3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hidden="1" x14ac:dyDescent="0.3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hidden="1" x14ac:dyDescent="0.3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hidden="1" x14ac:dyDescent="0.3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hidden="1" x14ac:dyDescent="0.3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hidden="1" x14ac:dyDescent="0.3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hidden="1" x14ac:dyDescent="0.3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hidden="1" x14ac:dyDescent="0.3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hidden="1" x14ac:dyDescent="0.3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hidden="1" x14ac:dyDescent="0.3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hidden="1" x14ac:dyDescent="0.3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hidden="1" x14ac:dyDescent="0.3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hidden="1" x14ac:dyDescent="0.3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hidden="1" x14ac:dyDescent="0.3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hidden="1" x14ac:dyDescent="0.3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hidden="1" x14ac:dyDescent="0.3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hidden="1" x14ac:dyDescent="0.3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hidden="1" x14ac:dyDescent="0.3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hidden="1" x14ac:dyDescent="0.3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hidden="1" x14ac:dyDescent="0.3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hidden="1" x14ac:dyDescent="0.3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hidden="1" x14ac:dyDescent="0.3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hidden="1" x14ac:dyDescent="0.3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hidden="1" x14ac:dyDescent="0.3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hidden="1" x14ac:dyDescent="0.3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hidden="1" x14ac:dyDescent="0.3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hidden="1" x14ac:dyDescent="0.3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hidden="1" x14ac:dyDescent="0.3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hidden="1" x14ac:dyDescent="0.3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hidden="1" x14ac:dyDescent="0.3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hidden="1" x14ac:dyDescent="0.3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hidden="1" x14ac:dyDescent="0.3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hidden="1" x14ac:dyDescent="0.3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hidden="1" x14ac:dyDescent="0.3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hidden="1" x14ac:dyDescent="0.3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hidden="1" x14ac:dyDescent="0.3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hidden="1" x14ac:dyDescent="0.3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hidden="1" x14ac:dyDescent="0.3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hidden="1" x14ac:dyDescent="0.3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hidden="1" x14ac:dyDescent="0.3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hidden="1" x14ac:dyDescent="0.3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hidden="1" x14ac:dyDescent="0.3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hidden="1" x14ac:dyDescent="0.3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hidden="1" x14ac:dyDescent="0.3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hidden="1" x14ac:dyDescent="0.3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hidden="1" x14ac:dyDescent="0.3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hidden="1" x14ac:dyDescent="0.3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hidden="1" x14ac:dyDescent="0.3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hidden="1" x14ac:dyDescent="0.3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hidden="1" x14ac:dyDescent="0.3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hidden="1" x14ac:dyDescent="0.3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hidden="1" x14ac:dyDescent="0.3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hidden="1" x14ac:dyDescent="0.3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hidden="1" x14ac:dyDescent="0.3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 x14ac:dyDescent="0.3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 x14ac:dyDescent="0.3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 x14ac:dyDescent="0.3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 x14ac:dyDescent="0.3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 x14ac:dyDescent="0.3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 x14ac:dyDescent="0.3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 x14ac:dyDescent="0.3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hidden="1" x14ac:dyDescent="0.3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hidden="1" x14ac:dyDescent="0.3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hidden="1" x14ac:dyDescent="0.3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hidden="1" x14ac:dyDescent="0.3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hidden="1" x14ac:dyDescent="0.3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hidden="1" x14ac:dyDescent="0.3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hidden="1" x14ac:dyDescent="0.3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hidden="1" x14ac:dyDescent="0.3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hidden="1" x14ac:dyDescent="0.3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hidden="1" x14ac:dyDescent="0.3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hidden="1" x14ac:dyDescent="0.3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hidden="1" x14ac:dyDescent="0.3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hidden="1" x14ac:dyDescent="0.3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hidden="1" x14ac:dyDescent="0.3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hidden="1" x14ac:dyDescent="0.3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hidden="1" x14ac:dyDescent="0.3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hidden="1" x14ac:dyDescent="0.3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hidden="1" x14ac:dyDescent="0.3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hidden="1" x14ac:dyDescent="0.3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hidden="1" x14ac:dyDescent="0.3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hidden="1" x14ac:dyDescent="0.3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hidden="1" x14ac:dyDescent="0.3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hidden="1" x14ac:dyDescent="0.3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hidden="1" x14ac:dyDescent="0.3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hidden="1" x14ac:dyDescent="0.3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hidden="1" x14ac:dyDescent="0.3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hidden="1" x14ac:dyDescent="0.3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hidden="1" x14ac:dyDescent="0.3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hidden="1" x14ac:dyDescent="0.3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hidden="1" x14ac:dyDescent="0.3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hidden="1" x14ac:dyDescent="0.3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hidden="1" x14ac:dyDescent="0.3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hidden="1" x14ac:dyDescent="0.3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hidden="1" x14ac:dyDescent="0.3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hidden="1" x14ac:dyDescent="0.3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hidden="1" x14ac:dyDescent="0.3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hidden="1" x14ac:dyDescent="0.3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hidden="1" x14ac:dyDescent="0.3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hidden="1" x14ac:dyDescent="0.3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hidden="1" x14ac:dyDescent="0.3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hidden="1" x14ac:dyDescent="0.3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hidden="1" x14ac:dyDescent="0.3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hidden="1" x14ac:dyDescent="0.3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hidden="1" x14ac:dyDescent="0.3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hidden="1" x14ac:dyDescent="0.3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hidden="1" x14ac:dyDescent="0.3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hidden="1" x14ac:dyDescent="0.3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hidden="1" x14ac:dyDescent="0.3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hidden="1" x14ac:dyDescent="0.3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3" priority="1" operator="containsText" text="POOR">
      <formula>NOT(ISERROR(SEARCH("POOR",H2)))</formula>
    </cfRule>
    <cfRule type="containsText" dxfId="2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Car_Sales</vt:lpstr>
      <vt:lpstr>Histogram Chart</vt:lpstr>
      <vt:lpstr>Scatter Chart</vt:lpstr>
      <vt:lpstr>Sunburst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Office</cp:lastModifiedBy>
  <cp:revision/>
  <dcterms:created xsi:type="dcterms:W3CDTF">2020-05-21T14:49:04Z</dcterms:created>
  <dcterms:modified xsi:type="dcterms:W3CDTF">2026-03-02T00:44:03Z</dcterms:modified>
  <cp:category/>
  <cp:contentStatus/>
</cp:coreProperties>
</file>